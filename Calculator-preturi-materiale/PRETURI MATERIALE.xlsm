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eturi\PRETURI MATERIALE\"/>
    </mc:Choice>
  </mc:AlternateContent>
  <xr:revisionPtr revIDLastSave="0" documentId="13_ncr:1_{825C892F-A978-4479-AD08-3AF5F5EB9B08}" xr6:coauthVersionLast="47" xr6:coauthVersionMax="47" xr10:uidLastSave="{00000000-0000-0000-0000-000000000000}"/>
  <bookViews>
    <workbookView xWindow="-120" yWindow="-120" windowWidth="29040" windowHeight="15840" tabRatio="764" activeTab="4" xr2:uid="{00000000-000D-0000-FFFF-FFFF00000000}"/>
  </bookViews>
  <sheets>
    <sheet name="CUPRINS" sheetId="30" r:id="rId1"/>
    <sheet name="1.Bara rotunda(Round Steel)" sheetId="5" r:id="rId2"/>
    <sheet name="2.Bara patrata(Square Steel)" sheetId="6" r:id="rId3"/>
    <sheet name="3.Coturi(Corners)" sheetId="15" r:id="rId4"/>
    <sheet name="4.Platbanda(Plate)" sheetId="11" r:id="rId5"/>
    <sheet name="5.Plasă sudată(Welding Nets)" sheetId="18" r:id="rId6"/>
    <sheet name="6.Profile(Plofile L,U, ...)" sheetId="19" r:id="rId7"/>
    <sheet name="7.Q railing " sheetId="21" r:id="rId8"/>
    <sheet name="8.Tabla neteda" sheetId="13" r:id="rId9"/>
    <sheet name="9.Tablă expd.(Expanded Plate)" sheetId="17" r:id="rId10"/>
    <sheet name="10.Tabla striata(Tåreplater)" sheetId="14" r:id="rId11"/>
    <sheet name="11.Tablă Zi(Galvanizated Plate)" sheetId="25" r:id="rId12"/>
    <sheet name="12.Teava rotunda(Round Pipe)" sheetId="3" r:id="rId13"/>
    <sheet name="13.Teava patrata(Square Pipe)" sheetId="2" r:id="rId14"/>
    <sheet name="14.Teava rectang.(Rectangular)" sheetId="4" r:id="rId15"/>
    <sheet name="15.Întinzător(Tensioner)" sheetId="20" r:id="rId16"/>
    <sheet name="16.Grătare(Gratinn)" sheetId="22" r:id="rId17"/>
    <sheet name="17.Tije filetate(Threaded Rod)" sheetId="24" r:id="rId18"/>
    <sheet name="18.Consumabile(Supplies)" sheetId="27" r:id="rId19"/>
    <sheet name="19.Feronart" sheetId="31" r:id="rId20"/>
    <sheet name="20.Lemn+Metal+Zincare" sheetId="32" r:id="rId21"/>
    <sheet name="Euro" sheetId="26" r:id="rId22"/>
  </sheets>
  <functionGroups builtInGroupCount="19"/>
  <definedNames>
    <definedName name="_xlnm.Print_Area" localSheetId="6">'6.Profile(Plofile L,U, ...)'!$F$10:$S$10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6" i="11" l="1"/>
  <c r="F15" i="6" l="1"/>
  <c r="H15" i="6" s="1"/>
  <c r="J15" i="6"/>
  <c r="I15" i="6"/>
  <c r="J29" i="2" l="1"/>
  <c r="F29" i="2"/>
  <c r="H29" i="2" s="1"/>
  <c r="I29" i="2"/>
  <c r="H72" i="13"/>
  <c r="F10" i="31"/>
  <c r="F9" i="31"/>
  <c r="E10" i="31" a="1"/>
  <c r="E14" i="31" a="1"/>
  <c r="E9" i="31" a="1"/>
  <c r="E10" i="31" l="1"/>
  <c r="E14" i="31"/>
  <c r="E9" i="31"/>
  <c r="F36" i="5" l="1"/>
  <c r="H36" i="5" s="1"/>
  <c r="J36" i="5"/>
  <c r="I36" i="5"/>
  <c r="J76" i="3"/>
  <c r="F76" i="3"/>
  <c r="H76" i="3" s="1"/>
  <c r="I76" i="3"/>
  <c r="F39" i="19" l="1"/>
  <c r="J39" i="19"/>
  <c r="I39" i="19"/>
  <c r="H39" i="19"/>
  <c r="E32" i="19" a="1"/>
  <c r="E32" i="19" l="1"/>
  <c r="D13" i="27" a="1"/>
  <c r="D13" i="27" l="1"/>
  <c r="H10" i="14"/>
  <c r="E5" i="5" a="1"/>
  <c r="E5" i="5" l="1"/>
  <c r="F13" i="31" l="1"/>
  <c r="E13" i="31" a="1"/>
  <c r="E13" i="31" l="1"/>
  <c r="H17" i="4" l="1"/>
  <c r="Q46" i="11" l="1"/>
  <c r="A46" i="11"/>
  <c r="A38" i="3"/>
  <c r="E13" i="19" a="1"/>
  <c r="E12" i="19" a="1"/>
  <c r="E12" i="19" l="1"/>
  <c r="E13" i="19"/>
  <c r="L8" i="31" l="1"/>
  <c r="F12" i="31" l="1"/>
  <c r="N18" i="31"/>
  <c r="L17" i="31"/>
  <c r="N16" i="31"/>
  <c r="L15" i="31"/>
  <c r="N7" i="31"/>
  <c r="E12" i="31" a="1"/>
  <c r="E12" i="31" l="1"/>
  <c r="F10" i="3" l="1"/>
  <c r="E10" i="3"/>
  <c r="S60" i="3" l="1"/>
  <c r="N11" i="3"/>
  <c r="R7" i="3"/>
  <c r="N5" i="3"/>
  <c r="E14" i="19" a="1"/>
  <c r="E14" i="19" l="1"/>
  <c r="J35" i="3" l="1"/>
  <c r="E5" i="24"/>
  <c r="D5" i="24" a="1"/>
  <c r="D5" i="24" l="1"/>
  <c r="D20" i="13" a="1"/>
  <c r="D20" i="13" l="1"/>
  <c r="E19" i="5" a="1"/>
  <c r="E11" i="6" a="1"/>
  <c r="E39" i="3" a="1"/>
  <c r="D37" i="13" a="1"/>
  <c r="E39" i="3" l="1"/>
  <c r="E19" i="5"/>
  <c r="D37" i="13"/>
  <c r="E11" i="6"/>
  <c r="D10" i="13" a="1"/>
  <c r="D18" i="13" a="1"/>
  <c r="D18" i="13" l="1"/>
  <c r="D10" i="13"/>
  <c r="E5" i="18" a="1"/>
  <c r="E5" i="18" l="1"/>
  <c r="E8" i="4" a="1"/>
  <c r="E7" i="4" a="1"/>
  <c r="E9" i="2" a="1"/>
  <c r="E8" i="4" l="1"/>
  <c r="E7" i="4"/>
  <c r="E9" i="2"/>
  <c r="E13" i="4" a="1"/>
  <c r="E13" i="4" l="1"/>
  <c r="E16" i="5" a="1"/>
  <c r="E16" i="5" l="1"/>
  <c r="I63" i="11" l="1"/>
  <c r="M27" i="11" l="1"/>
  <c r="D32" i="13" a="1"/>
  <c r="D32" i="13" l="1"/>
  <c r="F11" i="32" l="1"/>
  <c r="D11" i="32"/>
  <c r="H9" i="32"/>
  <c r="F9" i="32"/>
  <c r="F20" i="31"/>
  <c r="F8" i="31"/>
  <c r="F7" i="31"/>
  <c r="E7" i="24"/>
  <c r="E6" i="24"/>
  <c r="F22" i="22"/>
  <c r="D21" i="22"/>
  <c r="F12" i="4"/>
  <c r="F26" i="2"/>
  <c r="F25" i="2"/>
  <c r="F8" i="2"/>
  <c r="K67" i="3"/>
  <c r="I67" i="3"/>
  <c r="G67" i="3"/>
  <c r="G66" i="3"/>
  <c r="K65" i="3"/>
  <c r="I65" i="3"/>
  <c r="G65" i="3"/>
  <c r="I64" i="3"/>
  <c r="G64" i="3"/>
  <c r="I63" i="3"/>
  <c r="G63" i="3"/>
  <c r="I61" i="3"/>
  <c r="G61" i="3"/>
  <c r="E61" i="3"/>
  <c r="Q60" i="3"/>
  <c r="O60" i="3"/>
  <c r="G59" i="3"/>
  <c r="K58" i="3"/>
  <c r="G58" i="3"/>
  <c r="G57" i="3"/>
  <c r="I55" i="3"/>
  <c r="G55" i="3"/>
  <c r="F50" i="3"/>
  <c r="N49" i="3"/>
  <c r="F49" i="3"/>
  <c r="P46" i="3"/>
  <c r="N46" i="3"/>
  <c r="F40" i="3"/>
  <c r="F35" i="3"/>
  <c r="J34" i="3"/>
  <c r="F32" i="3"/>
  <c r="F24" i="3"/>
  <c r="F22" i="3"/>
  <c r="F21" i="3"/>
  <c r="F19" i="3"/>
  <c r="D18" i="3"/>
  <c r="F14" i="3"/>
  <c r="D14" i="3"/>
  <c r="J11" i="3"/>
  <c r="H11" i="3"/>
  <c r="F11" i="3"/>
  <c r="F9" i="3"/>
  <c r="F6" i="3"/>
  <c r="J5" i="3"/>
  <c r="H5" i="3"/>
  <c r="F5" i="3"/>
  <c r="F69" i="13"/>
  <c r="F64" i="13"/>
  <c r="F63" i="13"/>
  <c r="F62" i="13"/>
  <c r="H61" i="13"/>
  <c r="F61" i="13"/>
  <c r="H60" i="13"/>
  <c r="F60" i="13"/>
  <c r="J57" i="13"/>
  <c r="F57" i="13"/>
  <c r="E46" i="13"/>
  <c r="E45" i="13"/>
  <c r="E39" i="13"/>
  <c r="E35" i="13"/>
  <c r="I15" i="13"/>
  <c r="E6" i="21"/>
  <c r="F20" i="19"/>
  <c r="H8" i="19"/>
  <c r="F8" i="19"/>
  <c r="F8" i="18"/>
  <c r="E63" i="11"/>
  <c r="F58" i="11"/>
  <c r="L57" i="11"/>
  <c r="F57" i="11"/>
  <c r="F56" i="11"/>
  <c r="A37" i="11"/>
  <c r="E30" i="11"/>
  <c r="E27" i="11"/>
  <c r="E14" i="11"/>
  <c r="E13" i="11"/>
  <c r="E11" i="11"/>
  <c r="E9" i="11"/>
  <c r="E7" i="11"/>
  <c r="G22" i="15"/>
  <c r="I21" i="15"/>
  <c r="K20" i="15"/>
  <c r="G20" i="15"/>
  <c r="I19" i="15"/>
  <c r="G27" i="5"/>
  <c r="M26" i="5"/>
  <c r="G26" i="5"/>
  <c r="G25" i="5"/>
  <c r="F14" i="5"/>
  <c r="U13" i="5"/>
  <c r="D5" i="13" a="1"/>
  <c r="D39" i="13" a="1"/>
  <c r="D26" i="11" a="1"/>
  <c r="D22" i="27" a="1"/>
  <c r="D17" i="11" a="1"/>
  <c r="E46" i="3" a="1"/>
  <c r="D25" i="11" a="1"/>
  <c r="D28" i="27" a="1"/>
  <c r="E26" i="3" a="1"/>
  <c r="D63" i="11" a="1"/>
  <c r="D48" i="11" a="1"/>
  <c r="D44" i="11" a="1"/>
  <c r="D33" i="11" a="1"/>
  <c r="D23" i="11" a="1"/>
  <c r="D12" i="11" a="1"/>
  <c r="E58" i="13" a="1"/>
  <c r="D48" i="27" a="1"/>
  <c r="E7" i="3" a="1"/>
  <c r="E36" i="19" a="1"/>
  <c r="E14" i="2" a="1"/>
  <c r="D50" i="11" a="1"/>
  <c r="E34" i="19" a="1"/>
  <c r="E12" i="6" a="1"/>
  <c r="D49" i="11" a="1"/>
  <c r="D51" i="13" a="1"/>
  <c r="D46" i="11" a="1"/>
  <c r="D43" i="11" a="1"/>
  <c r="E19" i="19" a="1"/>
  <c r="E22" i="3" a="1"/>
  <c r="E5" i="15" a="1"/>
  <c r="D13" i="22" a="1"/>
  <c r="E35" i="19" a="1"/>
  <c r="D54" i="27" a="1"/>
  <c r="E69" i="13" a="1"/>
  <c r="E23" i="22" a="1"/>
  <c r="E9" i="4" a="1"/>
  <c r="E23" i="2" a="1"/>
  <c r="E6" i="4" a="1"/>
  <c r="D25" i="13" a="1"/>
  <c r="D40" i="11" a="1"/>
  <c r="E28" i="19" a="1"/>
  <c r="E7" i="6" a="1"/>
  <c r="E30" i="19" a="1"/>
  <c r="E5" i="6" a="1"/>
  <c r="E22" i="22" a="1"/>
  <c r="E19" i="3" a="1"/>
  <c r="D13" i="11" a="1"/>
  <c r="D8" i="13" a="1"/>
  <c r="F22" i="15" a="1"/>
  <c r="E7" i="15" a="1"/>
  <c r="E14" i="5" a="1"/>
  <c r="E5" i="20" a="1"/>
  <c r="E11" i="3" a="1"/>
  <c r="D11" i="22" a="1"/>
  <c r="E8" i="6" a="1"/>
  <c r="E30" i="3" a="1"/>
  <c r="E10" i="5" a="1"/>
  <c r="F19" i="15" a="1"/>
  <c r="E21" i="22" a="1"/>
  <c r="D29" i="13" a="1"/>
  <c r="E57" i="11" a="1"/>
  <c r="D22" i="13" a="1"/>
  <c r="D60" i="27" a="1"/>
  <c r="E9" i="5" a="1"/>
  <c r="D15" i="11" a="1"/>
  <c r="D8" i="11" a="1"/>
  <c r="D56" i="27" a="1"/>
  <c r="D19" i="13" a="1"/>
  <c r="E15" i="31" a="1"/>
  <c r="E63" i="13" a="1"/>
  <c r="E40" i="3" a="1"/>
  <c r="E33" i="3" a="1"/>
  <c r="D12" i="27" a="1"/>
  <c r="D15" i="27" a="1"/>
  <c r="D6" i="11" a="1"/>
  <c r="E12" i="5" a="1"/>
  <c r="D45" i="27" a="1"/>
  <c r="E59" i="13" a="1"/>
  <c r="D29" i="11" a="1"/>
  <c r="E49" i="3" a="1"/>
  <c r="D44" i="27" a="1"/>
  <c r="E26" i="2" a="1"/>
  <c r="E17" i="2" a="1"/>
  <c r="D41" i="27" a="1"/>
  <c r="D7" i="13" a="1"/>
  <c r="E57" i="13" a="1"/>
  <c r="E61" i="13" a="1"/>
  <c r="D47" i="11" a="1"/>
  <c r="E62" i="13" a="1"/>
  <c r="E6" i="15" a="1"/>
  <c r="E15" i="19" a="1"/>
  <c r="E12" i="3" a="1"/>
  <c r="E11" i="2" a="1"/>
  <c r="E20" i="19" a="1"/>
  <c r="E8" i="31" a="1"/>
  <c r="E5" i="4" a="1"/>
  <c r="D6" i="27" a="1"/>
  <c r="D31" i="13" a="1"/>
  <c r="E25" i="19" a="1"/>
  <c r="D8" i="22" a="1"/>
  <c r="D23" i="27" a="1"/>
  <c r="E25" i="2" a="1"/>
  <c r="D12" i="22" a="1"/>
  <c r="E25" i="3" a="1"/>
  <c r="D27" i="11" a="1"/>
  <c r="E18" i="3" a="1"/>
  <c r="D16" i="27" a="1"/>
  <c r="E8" i="3" a="1"/>
  <c r="D9" i="13" a="1"/>
  <c r="E21" i="19" a="1"/>
  <c r="D14" i="13" a="1"/>
  <c r="D46" i="27" a="1"/>
  <c r="E18" i="5" a="1"/>
  <c r="D37" i="11" a="1"/>
  <c r="E6" i="18" a="1"/>
  <c r="D42" i="11" a="1"/>
  <c r="D17" i="27" a="1"/>
  <c r="D43" i="27" a="1"/>
  <c r="E24" i="2" a="1"/>
  <c r="E10" i="2" a="1"/>
  <c r="D31" i="11" a="1"/>
  <c r="D19" i="11" a="1"/>
  <c r="E20" i="5" a="1"/>
  <c r="E11" i="19" a="1"/>
  <c r="E15" i="3" a="1"/>
  <c r="E12" i="4" a="1"/>
  <c r="D6" i="14" a="1"/>
  <c r="D6" i="24" a="1"/>
  <c r="E16" i="3" a="1"/>
  <c r="E58" i="11" a="1"/>
  <c r="E47" i="3" a="1"/>
  <c r="E16" i="2" a="1"/>
  <c r="D34" i="11" a="1"/>
  <c r="D35" i="11" a="1"/>
  <c r="E24" i="19" a="1"/>
  <c r="D7" i="11" a="1"/>
  <c r="E36" i="3" a="1"/>
  <c r="D46" i="13" a="1"/>
  <c r="E11" i="4" a="1"/>
  <c r="E20" i="31" a="1"/>
  <c r="D39" i="11" a="1"/>
  <c r="E18" i="2" a="1"/>
  <c r="E16" i="19" a="1"/>
  <c r="D16" i="11" a="1"/>
  <c r="D14" i="22" a="1"/>
  <c r="E6" i="2" a="1"/>
  <c r="E13" i="2" a="1"/>
  <c r="D14" i="27" a="1"/>
  <c r="F25" i="5" a="1"/>
  <c r="E22" i="2" a="1"/>
  <c r="D30" i="11" a="1"/>
  <c r="E9" i="6" a="1"/>
  <c r="D55" i="27" a="1"/>
  <c r="E17" i="31" a="1"/>
  <c r="E10" i="6" a="1"/>
  <c r="F66" i="3" a="1"/>
  <c r="D7" i="14" a="1"/>
  <c r="D45" i="13" a="1"/>
  <c r="D10" i="22" a="1"/>
  <c r="F32" i="5" a="1"/>
  <c r="D9" i="22" a="1"/>
  <c r="E28" i="3" a="1"/>
  <c r="E17" i="5" a="1"/>
  <c r="D6" i="22" a="1"/>
  <c r="E15" i="5" a="1"/>
  <c r="D38" i="11" a="1"/>
  <c r="D8" i="24" a="1"/>
  <c r="D10" i="11" a="1"/>
  <c r="D59" i="27" a="1"/>
  <c r="D28" i="13" a="1"/>
  <c r="D13" i="13" a="1"/>
  <c r="E9" i="3" a="1"/>
  <c r="D7" i="25" a="1"/>
  <c r="E29" i="3" a="1"/>
  <c r="D28" i="11" a="1"/>
  <c r="E22" i="19" a="1"/>
  <c r="E21" i="3" a="1"/>
  <c r="F62" i="3" a="1"/>
  <c r="F21" i="15" a="1"/>
  <c r="E24" i="3" a="1"/>
  <c r="D40" i="13" a="1"/>
  <c r="E20" i="3" a="1"/>
  <c r="D6" i="25" a="1"/>
  <c r="F68" i="3" a="1"/>
  <c r="D9" i="11" a="1"/>
  <c r="D61" i="27" a="1"/>
  <c r="E10" i="19" a="1"/>
  <c r="D5" i="27" a="1"/>
  <c r="D57" i="27" a="1"/>
  <c r="E6" i="6" a="1"/>
  <c r="D8" i="25" a="1"/>
  <c r="D30" i="13" a="1"/>
  <c r="E16" i="31" a="1"/>
  <c r="D6" i="13" a="1"/>
  <c r="E18" i="31" a="1"/>
  <c r="F56" i="3" a="1"/>
  <c r="E6" i="5" a="1"/>
  <c r="D11" i="11" a="1"/>
  <c r="D41" i="11" a="1"/>
  <c r="E48" i="3" a="1"/>
  <c r="E27" i="3" a="1"/>
  <c r="E10" i="4" a="1"/>
  <c r="E14" i="3" a="1"/>
  <c r="F55" i="3" a="1"/>
  <c r="F20" i="15" a="1"/>
  <c r="D53" i="27" a="1"/>
  <c r="D7" i="24" a="1"/>
  <c r="E31" i="3" a="1"/>
  <c r="D32" i="11" a="1"/>
  <c r="E32" i="3" a="1"/>
  <c r="E8" i="2" a="1"/>
  <c r="E35" i="3" a="1"/>
  <c r="F59" i="3" a="1"/>
  <c r="D11" i="13" a="1"/>
  <c r="E38" i="3" a="1"/>
  <c r="E15" i="2" a="1"/>
  <c r="D15" i="22" a="1"/>
  <c r="F26" i="5" a="1"/>
  <c r="E7" i="18" a="1"/>
  <c r="D7" i="22" a="1"/>
  <c r="D5" i="25" a="1"/>
  <c r="E5" i="3" a="1"/>
  <c r="E27" i="19" a="1"/>
  <c r="D36" i="11" a="1"/>
  <c r="D15" i="13" a="1"/>
  <c r="E7" i="19" a="1"/>
  <c r="F58" i="3" a="1"/>
  <c r="D34" i="13" a="1"/>
  <c r="D12" i="13" a="1"/>
  <c r="D35" i="13" a="1"/>
  <c r="E60" i="13" a="1"/>
  <c r="D21" i="11" a="1"/>
  <c r="D27" i="13" a="1"/>
  <c r="D36" i="13" a="1"/>
  <c r="D52" i="13" a="1"/>
  <c r="F64" i="3" a="1"/>
  <c r="E37" i="3" a="1"/>
  <c r="D45" i="11" a="1"/>
  <c r="E8" i="5" a="1"/>
  <c r="E13" i="3" a="1"/>
  <c r="F73" i="3" a="1"/>
  <c r="F27" i="5" a="1"/>
  <c r="D20" i="11" a="1"/>
  <c r="E8" i="15" a="1"/>
  <c r="F61" i="3" a="1"/>
  <c r="E41" i="3" a="1"/>
  <c r="E7" i="31" a="1"/>
  <c r="E23" i="3" a="1"/>
  <c r="E12" i="2" a="1"/>
  <c r="E20" i="2" a="1"/>
  <c r="D5" i="14" a="1"/>
  <c r="F65" i="3" a="1"/>
  <c r="F17" i="15" a="1"/>
  <c r="E13" i="5" a="1"/>
  <c r="E6" i="3" a="1"/>
  <c r="E7" i="2" a="1"/>
  <c r="F57" i="3" a="1"/>
  <c r="E50" i="3" a="1"/>
  <c r="E18" i="19" a="1"/>
  <c r="E34" i="3" a="1"/>
  <c r="D42" i="27" a="1"/>
  <c r="F60" i="3" a="1"/>
  <c r="D38" i="13" a="1"/>
  <c r="F16" i="15" a="1"/>
  <c r="E21" i="2" a="1"/>
  <c r="D5" i="17" a="1"/>
  <c r="E56" i="11" a="1"/>
  <c r="D14" i="11" a="1"/>
  <c r="D21" i="13" a="1"/>
  <c r="E19" i="2" a="1"/>
  <c r="F67" i="3" a="1"/>
  <c r="D26" i="13" a="1"/>
  <c r="D16" i="13" a="1"/>
  <c r="D23" i="13" a="1"/>
  <c r="E17" i="19" a="1"/>
  <c r="D5" i="21" a="1"/>
  <c r="E11" i="31" a="1"/>
  <c r="D24" i="13" a="1"/>
  <c r="E8" i="19" a="1"/>
  <c r="D47" i="27" a="1"/>
  <c r="F63" i="3" a="1"/>
  <c r="D33" i="13" a="1"/>
  <c r="D18" i="11" a="1"/>
  <c r="F18" i="15" a="1"/>
  <c r="E64" i="13" a="1"/>
  <c r="E11" i="5" a="1"/>
  <c r="D17" i="13" a="1"/>
  <c r="E17" i="3" a="1"/>
  <c r="E33" i="19" a="1"/>
  <c r="D51" i="11" a="1"/>
  <c r="D22" i="11" a="1"/>
  <c r="D24" i="11" a="1"/>
  <c r="D58" i="27" a="1"/>
  <c r="E7" i="5" a="1"/>
  <c r="E5" i="2" a="1"/>
  <c r="D6" i="25" l="1"/>
  <c r="D6" i="24"/>
  <c r="D6" i="27"/>
  <c r="E61" i="13"/>
  <c r="E22" i="22"/>
  <c r="E8" i="6"/>
  <c r="D19" i="11"/>
  <c r="E7" i="18"/>
  <c r="E13" i="5"/>
  <c r="E7" i="19"/>
  <c r="D24" i="11"/>
  <c r="D47" i="27"/>
  <c r="D41" i="11"/>
  <c r="D21" i="13"/>
  <c r="D5" i="14"/>
  <c r="E24" i="3"/>
  <c r="F32" i="5"/>
  <c r="D25" i="11"/>
  <c r="F55" i="3"/>
  <c r="E6" i="18"/>
  <c r="E19" i="19"/>
  <c r="D56" i="27"/>
  <c r="D35" i="11"/>
  <c r="D22" i="27"/>
  <c r="E11" i="19"/>
  <c r="D29" i="13"/>
  <c r="E26" i="3"/>
  <c r="D17" i="13"/>
  <c r="D43" i="27"/>
  <c r="D11" i="13"/>
  <c r="E32" i="3"/>
  <c r="E49" i="3"/>
  <c r="D17" i="27"/>
  <c r="D26" i="13"/>
  <c r="D31" i="11"/>
  <c r="F21" i="15"/>
  <c r="F63" i="3"/>
  <c r="D28" i="27"/>
  <c r="E57" i="11"/>
  <c r="E14" i="3"/>
  <c r="E6" i="4"/>
  <c r="E9" i="5"/>
  <c r="E13" i="3"/>
  <c r="D40" i="11"/>
  <c r="D6" i="22"/>
  <c r="D11" i="11"/>
  <c r="E22" i="19"/>
  <c r="E60" i="13"/>
  <c r="D16" i="27"/>
  <c r="D38" i="11"/>
  <c r="D45" i="11"/>
  <c r="E34" i="3"/>
  <c r="E24" i="19"/>
  <c r="E12" i="3"/>
  <c r="D5" i="21"/>
  <c r="D6" i="14"/>
  <c r="D10" i="11"/>
  <c r="E30" i="19"/>
  <c r="E34" i="19"/>
  <c r="E16" i="31"/>
  <c r="D22" i="13"/>
  <c r="E17" i="2"/>
  <c r="D9" i="13"/>
  <c r="D9" i="22"/>
  <c r="E18" i="19"/>
  <c r="E8" i="15"/>
  <c r="D23" i="27"/>
  <c r="E17" i="19"/>
  <c r="D39" i="13"/>
  <c r="E21" i="22"/>
  <c r="E5" i="20"/>
  <c r="D14" i="11"/>
  <c r="E11" i="2"/>
  <c r="D7" i="24"/>
  <c r="E16" i="19"/>
  <c r="E15" i="3"/>
  <c r="D14" i="22"/>
  <c r="E12" i="6"/>
  <c r="D5" i="27"/>
  <c r="E5" i="15"/>
  <c r="D46" i="27"/>
  <c r="E59" i="13"/>
  <c r="D23" i="13"/>
  <c r="E6" i="2"/>
  <c r="E11" i="31"/>
  <c r="D15" i="27"/>
  <c r="E9" i="3"/>
  <c r="D13" i="11"/>
  <c r="D26" i="11"/>
  <c r="D9" i="11"/>
  <c r="E8" i="3"/>
  <c r="D12" i="13"/>
  <c r="E57" i="13"/>
  <c r="E7" i="15"/>
  <c r="D50" i="11"/>
  <c r="E20" i="2"/>
  <c r="E48" i="3"/>
  <c r="D48" i="27"/>
  <c r="E14" i="5"/>
  <c r="E12" i="2"/>
  <c r="D31" i="13"/>
  <c r="F19" i="15"/>
  <c r="D7" i="11"/>
  <c r="E8" i="31"/>
  <c r="D41" i="27"/>
  <c r="E15" i="19"/>
  <c r="F18" i="15"/>
  <c r="D8" i="22"/>
  <c r="E19" i="3"/>
  <c r="D36" i="13"/>
  <c r="E7" i="6"/>
  <c r="D45" i="13"/>
  <c r="D7" i="13"/>
  <c r="D27" i="13"/>
  <c r="E46" i="3"/>
  <c r="F22" i="15"/>
  <c r="F27" i="5"/>
  <c r="D49" i="11"/>
  <c r="D44" i="11"/>
  <c r="F67" i="3"/>
  <c r="E5" i="2"/>
  <c r="D38" i="13"/>
  <c r="D7" i="25"/>
  <c r="E8" i="2"/>
  <c r="D16" i="11"/>
  <c r="F59" i="3"/>
  <c r="F64" i="3"/>
  <c r="E56" i="11"/>
  <c r="E25" i="19"/>
  <c r="E9" i="6"/>
  <c r="D39" i="11"/>
  <c r="D22" i="11"/>
  <c r="E33" i="3"/>
  <c r="D19" i="13"/>
  <c r="F62" i="3"/>
  <c r="D42" i="11"/>
  <c r="E37" i="3"/>
  <c r="E18" i="5"/>
  <c r="D24" i="13"/>
  <c r="D37" i="11"/>
  <c r="F16" i="15"/>
  <c r="F17" i="15"/>
  <c r="E20" i="3"/>
  <c r="D60" i="27"/>
  <c r="E13" i="2"/>
  <c r="E58" i="11"/>
  <c r="D7" i="22"/>
  <c r="E23" i="3"/>
  <c r="E5" i="6"/>
  <c r="E6" i="5"/>
  <c r="E62" i="13"/>
  <c r="D28" i="11"/>
  <c r="D6" i="11"/>
  <c r="D5" i="17"/>
  <c r="F60" i="3"/>
  <c r="D15" i="11"/>
  <c r="D51" i="11"/>
  <c r="D42" i="27"/>
  <c r="E16" i="3"/>
  <c r="E12" i="5"/>
  <c r="D15" i="13"/>
  <c r="D46" i="13"/>
  <c r="E23" i="2"/>
  <c r="D7" i="14"/>
  <c r="E14" i="2"/>
  <c r="E8" i="5"/>
  <c r="E58" i="13"/>
  <c r="D28" i="13"/>
  <c r="D18" i="11"/>
  <c r="E11" i="3"/>
  <c r="D30" i="13"/>
  <c r="D10" i="22"/>
  <c r="F61" i="3"/>
  <c r="E15" i="2"/>
  <c r="F57" i="3"/>
  <c r="E27" i="3"/>
  <c r="D55" i="27"/>
  <c r="D8" i="25"/>
  <c r="D36" i="11"/>
  <c r="D8" i="13"/>
  <c r="E35" i="19"/>
  <c r="D61" i="27"/>
  <c r="E22" i="2"/>
  <c r="E7" i="5"/>
  <c r="D54" i="27"/>
  <c r="D8" i="11"/>
  <c r="F73" i="3"/>
  <c r="D34" i="13"/>
  <c r="D20" i="11"/>
  <c r="E17" i="31"/>
  <c r="F58" i="3"/>
  <c r="E36" i="19"/>
  <c r="E6" i="6"/>
  <c r="E23" i="22"/>
  <c r="E19" i="2"/>
  <c r="F68" i="3"/>
  <c r="D5" i="25"/>
  <c r="E28" i="19"/>
  <c r="E5" i="3"/>
  <c r="E10" i="6"/>
  <c r="D59" i="27"/>
  <c r="E25" i="3"/>
  <c r="E38" i="3"/>
  <c r="D16" i="13"/>
  <c r="D14" i="13"/>
  <c r="D27" i="11"/>
  <c r="F26" i="5"/>
  <c r="D43" i="11"/>
  <c r="D53" i="27"/>
  <c r="D52" i="13"/>
  <c r="F56" i="3"/>
  <c r="E47" i="3"/>
  <c r="D35" i="13"/>
  <c r="D12" i="22"/>
  <c r="E50" i="3"/>
  <c r="E6" i="3"/>
  <c r="D12" i="27"/>
  <c r="E35" i="3"/>
  <c r="E41" i="3"/>
  <c r="E63" i="13"/>
  <c r="D8" i="24"/>
  <c r="E25" i="2"/>
  <c r="D29" i="11"/>
  <c r="E21" i="2"/>
  <c r="D21" i="11"/>
  <c r="D13" i="13"/>
  <c r="E10" i="19"/>
  <c r="E27" i="19"/>
  <c r="E10" i="4"/>
  <c r="D48" i="11"/>
  <c r="D25" i="13"/>
  <c r="E11" i="5"/>
  <c r="E22" i="3"/>
  <c r="D5" i="13"/>
  <c r="E21" i="19"/>
  <c r="E5" i="4"/>
  <c r="E16" i="2"/>
  <c r="D47" i="11"/>
  <c r="E17" i="5"/>
  <c r="D14" i="27"/>
  <c r="E20" i="19"/>
  <c r="D51" i="13"/>
  <c r="D6" i="13"/>
  <c r="D17" i="11"/>
  <c r="E69" i="13"/>
  <c r="E18" i="3"/>
  <c r="F66" i="3"/>
  <c r="E6" i="15"/>
  <c r="D44" i="27"/>
  <c r="D11" i="22"/>
  <c r="D23" i="11"/>
  <c r="D63" i="11"/>
  <c r="E40" i="3"/>
  <c r="E7" i="2"/>
  <c r="E21" i="3"/>
  <c r="E26" i="2"/>
  <c r="D58" i="27"/>
  <c r="E18" i="2"/>
  <c r="D12" i="11"/>
  <c r="E15" i="5"/>
  <c r="D45" i="27"/>
  <c r="E18" i="31"/>
  <c r="D13" i="22"/>
  <c r="E20" i="31"/>
  <c r="E12" i="4"/>
  <c r="E15" i="31"/>
  <c r="E29" i="3"/>
  <c r="E10" i="2"/>
  <c r="E7" i="3"/>
  <c r="E33" i="19"/>
  <c r="D32" i="11"/>
  <c r="E9" i="4"/>
  <c r="D34" i="11"/>
  <c r="D15" i="22"/>
  <c r="E7" i="31"/>
  <c r="E17" i="3"/>
  <c r="D57" i="27"/>
  <c r="E64" i="13"/>
  <c r="E36" i="3"/>
  <c r="E28" i="3"/>
  <c r="D46" i="11"/>
  <c r="E30" i="3"/>
  <c r="E8" i="19"/>
  <c r="D40" i="13"/>
  <c r="E24" i="2"/>
  <c r="D33" i="13"/>
  <c r="E20" i="5"/>
  <c r="F20" i="15"/>
  <c r="E11" i="4"/>
  <c r="E10" i="5"/>
  <c r="F25" i="5"/>
  <c r="D33" i="11"/>
  <c r="D30" i="11"/>
  <c r="F65" i="3"/>
  <c r="E3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<sst xmlns="http://schemas.openxmlformats.org/spreadsheetml/2006/main" count="1918" uniqueCount="509">
  <si>
    <t>m</t>
  </si>
  <si>
    <t>Ø148x10</t>
  </si>
  <si>
    <t>Ø20x1.5</t>
  </si>
  <si>
    <t>80x8</t>
  </si>
  <si>
    <t>kg</t>
  </si>
  <si>
    <t>50x8</t>
  </si>
  <si>
    <t>200x10</t>
  </si>
  <si>
    <t>60x10</t>
  </si>
  <si>
    <t>60x8</t>
  </si>
  <si>
    <t>30x6</t>
  </si>
  <si>
    <t>T50x6</t>
  </si>
  <si>
    <t>plasa sudata Ø30x30x3</t>
  </si>
  <si>
    <t>plasa sudata Ø40x40x4</t>
  </si>
  <si>
    <t>tensioner M20 (2700kgf) Zn</t>
  </si>
  <si>
    <t>cot Ø16x1.5</t>
  </si>
  <si>
    <t>120x12</t>
  </si>
  <si>
    <t>120x8</t>
  </si>
  <si>
    <t>100x10</t>
  </si>
  <si>
    <t>60x5</t>
  </si>
  <si>
    <t>50x5</t>
  </si>
  <si>
    <t>60x6</t>
  </si>
  <si>
    <t>50x6</t>
  </si>
  <si>
    <t>100x8</t>
  </si>
  <si>
    <t>150x6</t>
  </si>
  <si>
    <t>HUP 100x100x6</t>
  </si>
  <si>
    <t>Q railing AIS 304 Ø42 lucios</t>
  </si>
  <si>
    <t>Q railing Ø42</t>
  </si>
  <si>
    <t>Transport Q railing</t>
  </si>
  <si>
    <t>Nume</t>
  </si>
  <si>
    <t>UM</t>
  </si>
  <si>
    <t>30x8</t>
  </si>
  <si>
    <t>Ø10 calibrat</t>
  </si>
  <si>
    <t>60x40x2</t>
  </si>
  <si>
    <t>50x50x3</t>
  </si>
  <si>
    <t>150x10</t>
  </si>
  <si>
    <t>Ø60x3</t>
  </si>
  <si>
    <t>80x80x8</t>
  </si>
  <si>
    <t>140x8</t>
  </si>
  <si>
    <t>tb 3x1500x6000</t>
  </si>
  <si>
    <t>Data</t>
  </si>
  <si>
    <t>20x5</t>
  </si>
  <si>
    <t>buc</t>
  </si>
  <si>
    <t>40x40x2</t>
  </si>
  <si>
    <t xml:space="preserve"> otel 90x30x3</t>
  </si>
  <si>
    <t>80x80x5</t>
  </si>
  <si>
    <t>40x5</t>
  </si>
  <si>
    <t>120x10</t>
  </si>
  <si>
    <t>100x6</t>
  </si>
  <si>
    <t xml:space="preserve"> 80x10</t>
  </si>
  <si>
    <t>50x10</t>
  </si>
  <si>
    <t>30x5</t>
  </si>
  <si>
    <t>L (Cornier)</t>
  </si>
  <si>
    <t>Ø48.3x3</t>
  </si>
  <si>
    <t>100x5</t>
  </si>
  <si>
    <t>1.5x1000x2000</t>
  </si>
  <si>
    <t>1.5x600x2000</t>
  </si>
  <si>
    <t>L100x100x10</t>
  </si>
  <si>
    <t>40x40x4</t>
  </si>
  <si>
    <t>781x257x30x2</t>
  </si>
  <si>
    <t>777x425x30x2</t>
  </si>
  <si>
    <t>777x419x30x2</t>
  </si>
  <si>
    <t xml:space="preserve"> 1178x278x30x2</t>
  </si>
  <si>
    <t>05.02.2020</t>
  </si>
  <si>
    <t>1178x188x30x2</t>
  </si>
  <si>
    <t>1297x1297x30x2</t>
  </si>
  <si>
    <t>1177x676x30x2</t>
  </si>
  <si>
    <t>1177x631x30x2</t>
  </si>
  <si>
    <t xml:space="preserve"> 1177x664x30x2</t>
  </si>
  <si>
    <t>30x3</t>
  </si>
  <si>
    <t>40x40x3</t>
  </si>
  <si>
    <t>150x100x5</t>
  </si>
  <si>
    <t>160x12</t>
  </si>
  <si>
    <t xml:space="preserve"> 300x12</t>
  </si>
  <si>
    <t>40x10</t>
  </si>
  <si>
    <t>Ø42.4x2 inox 316L</t>
  </si>
  <si>
    <t>10x1500x3000</t>
  </si>
  <si>
    <t>3x1000x2000</t>
  </si>
  <si>
    <t>40x9</t>
  </si>
  <si>
    <t>40x6</t>
  </si>
  <si>
    <t>20 necalibrat</t>
  </si>
  <si>
    <t xml:space="preserve"> 14 necalibrat</t>
  </si>
  <si>
    <t>Tabla CK 75 BK Din 17222</t>
  </si>
  <si>
    <t>1.4x470x1500</t>
  </si>
  <si>
    <t>1.4x300x1500</t>
  </si>
  <si>
    <t>??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</si>
  <si>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</si>
  <si>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m</t>
    </r>
    <r>
      <rPr>
        <vertAlign val="superscript"/>
        <sz val="11"/>
        <color theme="1" tint="0.499984740745262"/>
        <rFont val="Calibri"/>
        <family val="2"/>
        <scheme val="minor"/>
      </rPr>
      <t>2</t>
    </r>
  </si>
  <si>
    <t>grate P30x2+8x1.5 (33x33)</t>
  </si>
  <si>
    <t>m2</t>
  </si>
  <si>
    <t>grate P30x2+8x1.5 (33x12.5)</t>
  </si>
  <si>
    <t>Ø21,3x2</t>
  </si>
  <si>
    <t>24,11,2020</t>
  </si>
  <si>
    <t xml:space="preserve"> Ø16x1,5/AISI 304</t>
  </si>
  <si>
    <t>Ø38x1.5/AISI 304</t>
  </si>
  <si>
    <t>Densiatea[kg/m]</t>
  </si>
  <si>
    <t>Ø30x1.5</t>
  </si>
  <si>
    <t>Ø30x2</t>
  </si>
  <si>
    <t xml:space="preserve"> Ø25x2/AISI 304</t>
  </si>
  <si>
    <t xml:space="preserve"> Ø25x1.5/AISI 304</t>
  </si>
  <si>
    <t>20x20x2</t>
  </si>
  <si>
    <t>HUP 100x100x5</t>
  </si>
  <si>
    <t>Ø16x1.5</t>
  </si>
  <si>
    <t>200x8</t>
  </si>
  <si>
    <t>140x10</t>
  </si>
  <si>
    <t>tb 3x1250x6000</t>
  </si>
  <si>
    <t>40x8</t>
  </si>
  <si>
    <t xml:space="preserve"> L80x80x8</t>
  </si>
  <si>
    <t>Ø12 calibrat</t>
  </si>
  <si>
    <t>Tija filetata M20x1m gr 8.8/TZn</t>
  </si>
  <si>
    <t>Tija filetata DIN975 A2 M20x1m</t>
  </si>
  <si>
    <t>Ø88.9x3.6</t>
  </si>
  <si>
    <t>Ø76.1x3</t>
  </si>
  <si>
    <t>HUP 100x100x8</t>
  </si>
  <si>
    <t>50x50x4</t>
  </si>
  <si>
    <t>L50x50x5</t>
  </si>
  <si>
    <t>L35x35x3</t>
  </si>
  <si>
    <t>L30x30x3</t>
  </si>
  <si>
    <t>70x70x4</t>
  </si>
  <si>
    <t>Ø26.9x2.6/AISI 304</t>
  </si>
  <si>
    <t>Ø60,3 x 3,6</t>
  </si>
  <si>
    <t>Ø33,7 x 3</t>
  </si>
  <si>
    <t>100x100x8</t>
  </si>
  <si>
    <t>Ø26.9x1.6/AISI 304</t>
  </si>
  <si>
    <t>Ø53x1.5/AISI 304</t>
  </si>
  <si>
    <t>15x1500x6000</t>
  </si>
  <si>
    <t>5x1500x6000</t>
  </si>
  <si>
    <t>cot 5/4 (Ø42x2)</t>
  </si>
  <si>
    <t>70x5</t>
  </si>
  <si>
    <t>Ø16 laminat</t>
  </si>
  <si>
    <t>curve Ø60</t>
  </si>
  <si>
    <t>Ø40</t>
  </si>
  <si>
    <t>Piulita intinzator M20</t>
  </si>
  <si>
    <t>5x1500x3000 mm</t>
  </si>
  <si>
    <t>Finisaj</t>
  </si>
  <si>
    <t>mata</t>
  </si>
  <si>
    <t>BA+PVC (oglinda)</t>
  </si>
  <si>
    <t>3x1000x2000 mm</t>
  </si>
  <si>
    <t>21.02.2021</t>
  </si>
  <si>
    <t>oglinda</t>
  </si>
  <si>
    <t>mat</t>
  </si>
  <si>
    <t>Ø40x1.5/AISI 304</t>
  </si>
  <si>
    <t>Ø42.4x2/AISI 304</t>
  </si>
  <si>
    <t>Ø12</t>
  </si>
  <si>
    <t>8x1500x6000</t>
  </si>
  <si>
    <t>HEA</t>
  </si>
  <si>
    <t>HEA 100</t>
  </si>
  <si>
    <t>HEB</t>
  </si>
  <si>
    <t>HEB 160</t>
  </si>
  <si>
    <t>grate P40x3+10X2 (33x33)</t>
  </si>
  <si>
    <t>80x6</t>
  </si>
  <si>
    <t>Tb. Zn 2,5x1250x2500</t>
  </si>
  <si>
    <t>Ø48.3x4</t>
  </si>
  <si>
    <t>70x70x5</t>
  </si>
  <si>
    <t>Ø42.4x3</t>
  </si>
  <si>
    <t>cot Ø48x3</t>
  </si>
  <si>
    <t>cot 60,3x2</t>
  </si>
  <si>
    <t>cot 60</t>
  </si>
  <si>
    <t>6x1500x6000</t>
  </si>
  <si>
    <t>70x8</t>
  </si>
  <si>
    <t xml:space="preserve"> 14 calibrat</t>
  </si>
  <si>
    <t>18.05.2021</t>
  </si>
  <si>
    <t>HEA 120</t>
  </si>
  <si>
    <t>18.05.21</t>
  </si>
  <si>
    <t>8x1500x6000/S355</t>
  </si>
  <si>
    <t>60x60x3</t>
  </si>
  <si>
    <t>60x40x3</t>
  </si>
  <si>
    <t>150x8</t>
  </si>
  <si>
    <t>4x1500x6000</t>
  </si>
  <si>
    <t>100x12</t>
  </si>
  <si>
    <t>Ø42.4x2</t>
  </si>
  <si>
    <t>10 laminat</t>
  </si>
  <si>
    <t>IPE</t>
  </si>
  <si>
    <t>IPE 120</t>
  </si>
  <si>
    <t>Ø146x8/S355 JBH</t>
  </si>
  <si>
    <t>Ø60,3x 2 (2 toli x2,9)</t>
  </si>
  <si>
    <t>[kg/m]</t>
  </si>
  <si>
    <t>Greutate specifica</t>
  </si>
  <si>
    <t xml:space="preserve">Greutate specifica </t>
  </si>
  <si>
    <t xml:space="preserve">Pret/unitate </t>
  </si>
  <si>
    <t>Ron (fara TVA)</t>
  </si>
  <si>
    <t>Greutate/m2</t>
  </si>
  <si>
    <t>T</t>
  </si>
  <si>
    <t>Ø50 laminat</t>
  </si>
  <si>
    <t>Corgon 18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</si>
  <si>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</si>
  <si>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Ø16</t>
  </si>
  <si>
    <t>30x10</t>
  </si>
  <si>
    <t>5mm</t>
  </si>
  <si>
    <t>15mm</t>
  </si>
  <si>
    <r>
      <t xml:space="preserve">electrod </t>
    </r>
    <r>
      <rPr>
        <sz val="11"/>
        <color theme="1"/>
        <rFont val="Calibri"/>
        <family val="2"/>
      </rPr>
      <t>Ø2,5 inox</t>
    </r>
  </si>
  <si>
    <t>Ø30 (laminat)</t>
  </si>
  <si>
    <t>Ø33,7 x 2</t>
  </si>
  <si>
    <t>100x50x3</t>
  </si>
  <si>
    <t>L35x35x4</t>
  </si>
  <si>
    <t>electrod 130A inox</t>
  </si>
  <si>
    <t>electrod 130a</t>
  </si>
  <si>
    <t>electrod 80a</t>
  </si>
  <si>
    <t>-</t>
  </si>
  <si>
    <t>Ø146x8</t>
  </si>
  <si>
    <t>CUPRINS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</si>
  <si>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</si>
  <si>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</si>
  <si>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</si>
  <si>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</si>
  <si>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</si>
  <si>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</si>
  <si>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</si>
  <si>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</si>
  <si>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</si>
  <si>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</si>
  <si>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</si>
  <si>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</si>
  <si>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</si>
  <si>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</si>
  <si>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</si>
  <si>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</si>
  <si>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</si>
  <si>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</si>
  <si>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Q railing</t>
  </si>
  <si>
    <t>Euro</t>
  </si>
  <si>
    <t>Ø146x10/S355 J2H</t>
  </si>
  <si>
    <t>CUPRINS/SUMMARY</t>
  </si>
  <si>
    <t>Coturi/Corners</t>
  </si>
  <si>
    <t>Platbandă/Plate</t>
  </si>
  <si>
    <t>Plasă sudată/ Welding Nets</t>
  </si>
  <si>
    <t>Profile/ Plofile L,U, ...</t>
  </si>
  <si>
    <t>Tablă netedă/ Plate 1500x6000 mm</t>
  </si>
  <si>
    <t>Tablă expandată/ Expanded Plate</t>
  </si>
  <si>
    <t>Bară rotundă/ Round Steel</t>
  </si>
  <si>
    <t>Bară pătrată/ Square Steel</t>
  </si>
  <si>
    <t>Tablă striată/ Torre Plate</t>
  </si>
  <si>
    <t>Tablă zincată/ Galvanizated Plate</t>
  </si>
  <si>
    <t>Țeavă rotundă/ Round Pipe</t>
  </si>
  <si>
    <t>Țeavă pătrată/ Square Pipe</t>
  </si>
  <si>
    <t>Țeavă rectangulară/Rectangular Pipe</t>
  </si>
  <si>
    <t>Întinzător/Tensioner</t>
  </si>
  <si>
    <t>Consumabile/ Supplies</t>
  </si>
  <si>
    <t>Bară rotundă/ Round Steel INOX AISI 304</t>
  </si>
  <si>
    <t>Coturi/Corners Inox AISI 304</t>
  </si>
  <si>
    <t>Grătare/Gratinn</t>
  </si>
  <si>
    <t>Platbandă/Plate AISI 304</t>
  </si>
  <si>
    <t>Tije filetate/Threaded Rod</t>
  </si>
  <si>
    <t>Tablă netedă/ Plate 1500x6000 mm  AISI 304</t>
  </si>
  <si>
    <t>Tablă netedă/ Plate 1500x6000 mm AISI 316</t>
  </si>
  <si>
    <r>
      <t>Țeavă rotundă/ Round Pipe INOX AISI</t>
    </r>
    <r>
      <rPr>
        <b/>
        <sz val="14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>304</t>
    </r>
  </si>
  <si>
    <t>Sârmă sudură (Welding wire )</t>
  </si>
  <si>
    <t>Gaz sudură (Welding Gas)</t>
  </si>
  <si>
    <t>Grătare/Grate</t>
  </si>
  <si>
    <t>Platbandă zincată</t>
  </si>
  <si>
    <t>200x20</t>
  </si>
  <si>
    <t>L60x60x5</t>
  </si>
  <si>
    <t>Ø6</t>
  </si>
  <si>
    <t>12x1500x6000/S355</t>
  </si>
  <si>
    <t xml:space="preserve">Tabla decapată </t>
  </si>
  <si>
    <t>50x50x5</t>
  </si>
  <si>
    <t>4x1250x2500</t>
  </si>
  <si>
    <t>Ø6 calibrat</t>
  </si>
  <si>
    <t>07.10.2021</t>
  </si>
  <si>
    <t>12 calibrat</t>
  </si>
  <si>
    <t>Tijă filetată/AISI 304</t>
  </si>
  <si>
    <t>ØM10</t>
  </si>
  <si>
    <t>(se vinde la pachet de 25 fire/1 m)</t>
  </si>
  <si>
    <t>3x1500x6000</t>
  </si>
  <si>
    <t>Feronart</t>
  </si>
  <si>
    <t>Obiecte de la Feronart (vecinii)</t>
  </si>
  <si>
    <t>Cod</t>
  </si>
  <si>
    <t>Obiecte feronerie</t>
  </si>
  <si>
    <t>Teava amprentata 30x30x2</t>
  </si>
  <si>
    <t>Otel patrat torsionat 16mm</t>
  </si>
  <si>
    <t>20-916/1</t>
  </si>
  <si>
    <t>Capac ornamental stalp 80x80mm</t>
  </si>
  <si>
    <t>14-133</t>
  </si>
  <si>
    <t>Element "S" amprentat</t>
  </si>
  <si>
    <t>07-032</t>
  </si>
  <si>
    <t>Cerc fier forjat amprentat</t>
  </si>
  <si>
    <t>08-025</t>
  </si>
  <si>
    <t>Spirala fier forjat 16x16mm</t>
  </si>
  <si>
    <t>09-013</t>
  </si>
  <si>
    <t>Element de mijloc</t>
  </si>
  <si>
    <t>13-082/OT</t>
  </si>
  <si>
    <t>Ø20 calibrat</t>
  </si>
  <si>
    <t>Ø20 necalibrat</t>
  </si>
  <si>
    <t>Tb. Zn 1,5x1250x2500</t>
  </si>
  <si>
    <t>Pentru saiba sticla</t>
  </si>
  <si>
    <t>Cauciuc panzat 2mm</t>
  </si>
  <si>
    <t>Adeziv Bison</t>
  </si>
  <si>
    <t>15x2000x3000</t>
  </si>
  <si>
    <t>Ø16x1.5/Al</t>
  </si>
  <si>
    <t>Tb. Zn 3x1500x3000 (108 kg/coala)</t>
  </si>
  <si>
    <t>10x1500x6000</t>
  </si>
  <si>
    <t>3x1250x6000</t>
  </si>
  <si>
    <t>Ø38x2/Al</t>
  </si>
  <si>
    <t>(655 lei/butelie de 50l (10.7 mc))</t>
  </si>
  <si>
    <t>3x1250x2500</t>
  </si>
  <si>
    <t>Ø16x2/Al</t>
  </si>
  <si>
    <t>8x2000x6000</t>
  </si>
  <si>
    <t>tb zincata 2x1250x2500 (50 kg/coala)</t>
  </si>
  <si>
    <t>Curpins</t>
  </si>
  <si>
    <t>Lemn:</t>
  </si>
  <si>
    <t>vatset.no</t>
  </si>
  <si>
    <t>Sticla:</t>
  </si>
  <si>
    <t>756,56 NOK</t>
  </si>
  <si>
    <t>Data:</t>
  </si>
  <si>
    <t>415.9 (12.4/kg)</t>
  </si>
  <si>
    <t>T80x9/S275</t>
  </si>
  <si>
    <t>L60x60x6</t>
  </si>
  <si>
    <t>Ø20 laminat</t>
  </si>
  <si>
    <t>Pret zincare:</t>
  </si>
  <si>
    <t>1469 lei/1 drum</t>
  </si>
  <si>
    <t>€</t>
  </si>
  <si>
    <t>RON/km</t>
  </si>
  <si>
    <t>Pret drum zincare:</t>
  </si>
  <si>
    <t>€/tona</t>
  </si>
  <si>
    <t>€/kg</t>
  </si>
  <si>
    <t>Pretui lemn/metal/zincare</t>
  </si>
  <si>
    <t>70x10 (S275JR)</t>
  </si>
  <si>
    <t>10x2000x6000</t>
  </si>
  <si>
    <t>12x2000x6000</t>
  </si>
  <si>
    <t>cot 6/4 (Ø48.3x3)</t>
  </si>
  <si>
    <t>Ø42x2.9</t>
  </si>
  <si>
    <t>Ø25 (laminat)</t>
  </si>
  <si>
    <t>Ø25x2</t>
  </si>
  <si>
    <t>Ø20x2/Al</t>
  </si>
  <si>
    <t>Ø20x1,5/Al</t>
  </si>
  <si>
    <t>cot (Ø25)</t>
  </si>
  <si>
    <t>15x15x1.5</t>
  </si>
  <si>
    <t>12x1500x6000</t>
  </si>
  <si>
    <t>UNP</t>
  </si>
  <si>
    <t>L20x20x3</t>
  </si>
  <si>
    <t>43.25 (68 lei/kg)</t>
  </si>
  <si>
    <t>Oxigen plasmă</t>
  </si>
  <si>
    <r>
      <t>Oxigen plasmă (10.5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/butelie)</t>
    </r>
  </si>
  <si>
    <t>(la o coala de 15 mm 6x2m) din care s-au tăiat:</t>
  </si>
  <si>
    <t>cod 617630:</t>
  </si>
  <si>
    <t>12 buc reper 4</t>
  </si>
  <si>
    <t>48 buc reper 1</t>
  </si>
  <si>
    <t>61 buc reper 2</t>
  </si>
  <si>
    <t>total:218m</t>
  </si>
  <si>
    <t>s-a consumat jumatat de butelie</t>
  </si>
  <si>
    <t>consum de 0.0458 m3/1 m de tabla 15mm</t>
  </si>
  <si>
    <t>Ø52x1.5/AISI 304</t>
  </si>
  <si>
    <t>Ø26.9x2/AISI 304</t>
  </si>
  <si>
    <t>Ø12 laminat</t>
  </si>
  <si>
    <t>mata (fir la 3m)</t>
  </si>
  <si>
    <t>mata (fir la 4 m)</t>
  </si>
  <si>
    <t>cot Ø42x2 (5/4)</t>
  </si>
  <si>
    <t>Argon (10.8/tub)</t>
  </si>
  <si>
    <t>70x10</t>
  </si>
  <si>
    <t>44.52 (70 lei/kg)</t>
  </si>
  <si>
    <t>60x60x4</t>
  </si>
  <si>
    <t xml:space="preserve"> 16 necalibrat</t>
  </si>
  <si>
    <t>buc (fir 6m)</t>
  </si>
  <si>
    <t>21-030</t>
  </si>
  <si>
    <t>44.52 (72.33 lei/kg)</t>
  </si>
  <si>
    <t>Greutate</t>
  </si>
  <si>
    <t>[kg/1 m2]</t>
  </si>
  <si>
    <t>Ø63 x 2</t>
  </si>
  <si>
    <t>Ø45x3/AISI 304</t>
  </si>
  <si>
    <t xml:space="preserve"> Ø22x1.5/AISI 304</t>
  </si>
  <si>
    <t>8f1(laminat la cald)</t>
  </si>
  <si>
    <t>3x1500x3000 mm (laminata la rece)</t>
  </si>
  <si>
    <t>1x1000x2000 mm (laminat la rece)</t>
  </si>
  <si>
    <t>30x30x1.5</t>
  </si>
  <si>
    <t>Ø63 x 1.5</t>
  </si>
  <si>
    <t>Ø63 x 3</t>
  </si>
  <si>
    <t>Ø8 calibrat</t>
  </si>
  <si>
    <t>Ø114x5</t>
  </si>
  <si>
    <t>30x30x2</t>
  </si>
  <si>
    <t>10x3</t>
  </si>
  <si>
    <t>15 calibrat</t>
  </si>
  <si>
    <t>Paletizare/amabalare</t>
  </si>
  <si>
    <t>Scanduri (4m)</t>
  </si>
  <si>
    <t>folie stretch</t>
  </si>
  <si>
    <t>Banda scotch</t>
  </si>
  <si>
    <t>Sarma neagra Ø3mm</t>
  </si>
  <si>
    <t>Cuie 3,2x100</t>
  </si>
  <si>
    <t>Cuie 3,2x60</t>
  </si>
  <si>
    <t>Banda metalica 19x0.6mm</t>
  </si>
  <si>
    <t>Vopsire</t>
  </si>
  <si>
    <t>[kg]</t>
  </si>
  <si>
    <t>Lac incolor (ecologic)</t>
  </si>
  <si>
    <t>Diluant lac+vopsea</t>
  </si>
  <si>
    <t>Apa distilata</t>
  </si>
  <si>
    <t>Detergent pt spalare</t>
  </si>
  <si>
    <t>20x2/Zn</t>
  </si>
  <si>
    <t>Nitrat de sodiu (NaNO3)</t>
  </si>
  <si>
    <t>ulei (pt tratament coasa)</t>
  </si>
  <si>
    <t>Vopsea alba/albastra/rosie (pe baza de diluant) (Email 203)</t>
  </si>
  <si>
    <t>Vopsea rosie Ral 3002 (pe baza de apa) (E513W)</t>
  </si>
  <si>
    <t>Lac incolor lucios (nitro)</t>
  </si>
  <si>
    <t>Vopseaua pe baza de diluant (nitro) se foloseste pt lame coasa+secera si coada secera (rosu)</t>
  </si>
  <si>
    <t>Pt coada coasa se foloseste vopsea pe baza de apa</t>
  </si>
  <si>
    <t>Ø40x2</t>
  </si>
  <si>
    <t>40x20x2</t>
  </si>
  <si>
    <t>20x6</t>
  </si>
  <si>
    <t>Ø25x1.5</t>
  </si>
  <si>
    <t>Ø60.3x3</t>
  </si>
  <si>
    <t xml:space="preserve"> </t>
  </si>
  <si>
    <t>[kg/pcs]</t>
  </si>
  <si>
    <t>1382x277 (30x2-directia scurta)</t>
  </si>
  <si>
    <t>Ø88.9x3.2</t>
  </si>
  <si>
    <t>Ø76.1x3.2</t>
  </si>
  <si>
    <t>Ø76x3.6</t>
  </si>
  <si>
    <t>Ø88.9x4/sudat</t>
  </si>
  <si>
    <t>plasa sudata Ø4x100x100 (2x6m)</t>
  </si>
  <si>
    <t>plasa sudata Ø3x100x100 (2x6m)</t>
  </si>
  <si>
    <t>Luat din alta parte: 5 fire/6m-510 lei (TVA inclus)</t>
  </si>
  <si>
    <t>10x1500x6000/S355</t>
  </si>
  <si>
    <r>
      <t xml:space="preserve">Welding wire </t>
    </r>
    <r>
      <rPr>
        <sz val="12"/>
        <color theme="1"/>
        <rFont val="Calibri"/>
        <family val="2"/>
        <scheme val="minor"/>
      </rPr>
      <t>(sarma sudura 0.8mm)</t>
    </r>
  </si>
  <si>
    <r>
      <t xml:space="preserve">Welding wire </t>
    </r>
    <r>
      <rPr>
        <sz val="12"/>
        <color theme="1"/>
        <rFont val="Calibri"/>
        <family val="2"/>
        <scheme val="minor"/>
      </rPr>
      <t>(sarma sudura 1mm)</t>
    </r>
  </si>
  <si>
    <t>tb 3x1250x4000</t>
  </si>
  <si>
    <r>
      <t>Match-gaseste</t>
    </r>
    <r>
      <rPr>
        <b/>
        <sz val="11"/>
        <color theme="1"/>
        <rFont val="Calibri"/>
        <family val="2"/>
        <scheme val="minor"/>
      </rPr>
      <t xml:space="preserve"> pozitia</t>
    </r>
    <r>
      <rPr>
        <sz val="11"/>
        <color theme="1"/>
        <rFont val="Calibri"/>
        <family val="2"/>
        <scheme val="minor"/>
      </rPr>
      <t xml:space="preserve"> unde a fost gasit maximul in functide de array-ul dat</t>
    </r>
  </si>
  <si>
    <t>Scadem din match 1 ca sa ajungem pe coloana cu preturile</t>
  </si>
  <si>
    <t>Max-gaseste maximul (data cea mai recenta)</t>
  </si>
  <si>
    <t>Cum functioneaza formula pt a gasi pretul cel mai recent pret:</t>
  </si>
  <si>
    <t>Address(nr rand,nr coloana,0) nrcoloana dat de match-1</t>
  </si>
  <si>
    <t>Indirect:Returneaza valoarea de la adresa address</t>
  </si>
  <si>
    <t>0-pt adresa relativa ( adresa fara $)</t>
  </si>
  <si>
    <t>Cel mai recent</t>
  </si>
  <si>
    <t>pret (RON fara TVA)</t>
  </si>
  <si>
    <r>
      <t>Țeavă rotundă/ Round Pipe/</t>
    </r>
    <r>
      <rPr>
        <b/>
        <sz val="12"/>
        <color rgb="FFFF0000"/>
        <rFont val="Calibri"/>
        <family val="2"/>
        <scheme val="minor"/>
      </rPr>
      <t>Al</t>
    </r>
    <r>
      <rPr>
        <b/>
        <sz val="11"/>
        <color rgb="FFFF0000"/>
        <rFont val="Calibri"/>
        <family val="2"/>
        <scheme val="minor"/>
      </rPr>
      <t>uminiu</t>
    </r>
  </si>
  <si>
    <t>Ex F5:S5 cu maximul gasit la J5 Match returneaza 6 (F:1,G:2.etc)</t>
  </si>
  <si>
    <t>Adaugam column(A1….coloana celei dinaintea celei de unde incepem sa cautam cu match) Column=numara coloanele intre 2 celule inclusiv</t>
  </si>
  <si>
    <t>ROW()=nr randului</t>
  </si>
  <si>
    <t>Formula rezultata:</t>
  </si>
  <si>
    <t>Ø16 calibrat</t>
  </si>
  <si>
    <t>Necessary</t>
  </si>
  <si>
    <t>Price/unit</t>
  </si>
  <si>
    <t>Total price</t>
  </si>
  <si>
    <t>Net kg</t>
  </si>
  <si>
    <r>
      <t>Suprafata [m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]</t>
    </r>
  </si>
  <si>
    <t>.</t>
  </si>
  <si>
    <t>Name</t>
  </si>
  <si>
    <t>3x1500x3000 (neagra)</t>
  </si>
  <si>
    <t>Ø168.3x8 lam S355</t>
  </si>
  <si>
    <t>UNP 180/OL 375</t>
  </si>
  <si>
    <t>UNP 160</t>
  </si>
  <si>
    <t>UNP 120</t>
  </si>
  <si>
    <t>UNP 240</t>
  </si>
  <si>
    <t>L100x100x8</t>
  </si>
  <si>
    <t xml:space="preserve"> IPE 120/S355J2</t>
  </si>
  <si>
    <t xml:space="preserve"> L70x70x7</t>
  </si>
  <si>
    <t>(800 kg cu 1.75 €)</t>
  </si>
  <si>
    <t>Europalet (greutate aprox 20 kg)</t>
  </si>
  <si>
    <t>Tablă netedă</t>
  </si>
  <si>
    <t>2x1000x2000 (decapata)</t>
  </si>
  <si>
    <t>(7.6/kg fir la 6m)</t>
  </si>
  <si>
    <t>30x15x1.5</t>
  </si>
  <si>
    <t>80x80x6</t>
  </si>
  <si>
    <t>1,4x470x1500</t>
  </si>
  <si>
    <t>100x50x5</t>
  </si>
  <si>
    <t>100x50x4</t>
  </si>
  <si>
    <t>plasa sudata Ø3.6x100x100 (2x6m)</t>
  </si>
  <si>
    <t>10x2000x6000/S355</t>
  </si>
  <si>
    <t>2x1000x2000 hot galv</t>
  </si>
  <si>
    <t>1.5x1250x2500</t>
  </si>
  <si>
    <t>Ø8 necalibrat</t>
  </si>
  <si>
    <t>(pt armare beton)</t>
  </si>
  <si>
    <t>Ø21.3x1.5</t>
  </si>
  <si>
    <t>10x2000x3000</t>
  </si>
  <si>
    <t>Tija filetata M10x1m/A2</t>
  </si>
  <si>
    <t>Se vinde la minim 25 buc de 1m</t>
  </si>
  <si>
    <t>pret (RON cu TVA)</t>
  </si>
  <si>
    <t>Ron (cu TVA)</t>
  </si>
  <si>
    <t>Square 14 mm</t>
  </si>
  <si>
    <t>(Ultimul pret:Kueryo)</t>
  </si>
  <si>
    <t>Important: Multe firme pun ceva in plus pe langa cursul BNR</t>
  </si>
  <si>
    <t>397.78 (11.86/kg)</t>
  </si>
  <si>
    <t>453.7 (2.7 €/kg)</t>
  </si>
  <si>
    <t>Ø127x8/S355</t>
  </si>
  <si>
    <t>(la 7m)</t>
  </si>
  <si>
    <t>Ø127x10 S355 J2H</t>
  </si>
  <si>
    <t>14-081</t>
  </si>
  <si>
    <t>Capac ornamental stalp 50x50mm</t>
  </si>
  <si>
    <t>(S275 la 6m)</t>
  </si>
  <si>
    <t>pret primit/3m 42.5</t>
  </si>
  <si>
    <t>L100x65x7</t>
  </si>
  <si>
    <t>L100x75x7</t>
  </si>
  <si>
    <t>Profilele nou introduse trebuie introduse si in libraria din cod altfel macroul nu le vede</t>
  </si>
  <si>
    <t>(la 6m-08-06-23)</t>
  </si>
  <si>
    <t>tpl 3x1500x6000</t>
  </si>
  <si>
    <t>Pipe 60x40x2</t>
  </si>
  <si>
    <t>14-070</t>
  </si>
  <si>
    <t>Capac stalp rotund cu Ø=42 mm</t>
  </si>
  <si>
    <t>Ø80</t>
  </si>
  <si>
    <t>25x2000x6000/S355</t>
  </si>
  <si>
    <t>25x2000x6000</t>
  </si>
  <si>
    <t>20x2000x6000</t>
  </si>
  <si>
    <t>18x2000x6000/S355</t>
  </si>
  <si>
    <t>15x2000x3000/S355 J2+N</t>
  </si>
  <si>
    <t>15x2000x6000/S355 J2+N</t>
  </si>
  <si>
    <t>Round Ø12</t>
  </si>
  <si>
    <t>Pipe 40x40x4</t>
  </si>
  <si>
    <t>UNP 100</t>
  </si>
  <si>
    <t>Profile UNP 100</t>
  </si>
  <si>
    <t>(0.1188 m)</t>
  </si>
  <si>
    <t>3x1500x3000 (TDA)</t>
  </si>
  <si>
    <t>Pipe Ø42.4x2</t>
  </si>
  <si>
    <t>Otel patrat torsionat 12mm</t>
  </si>
  <si>
    <t>20-912/1</t>
  </si>
  <si>
    <t>buc (fir 6m sau 3m)</t>
  </si>
  <si>
    <t>07-001</t>
  </si>
  <si>
    <t>Element "C" Fer Forjat</t>
  </si>
  <si>
    <t xml:space="preserve">Platbanda colier 16x1,5 mm/2 ml </t>
  </si>
  <si>
    <t>19-160/T</t>
  </si>
  <si>
    <t>buc (fir 2m)</t>
  </si>
  <si>
    <t>(1 fir)</t>
  </si>
  <si>
    <t>pl 1x1000x2000 mm  AISI 304</t>
  </si>
  <si>
    <t>Flat 40x6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</si>
</sst>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\ [$€-1];[Red]\-#,##0\ [$€-1]"/>
    <numFmt numFmtId="165" formatCode="0.000"/>
    <numFmt numFmtId="166" formatCode="0.0"/>
    <numFmt numFmtId="167" formatCode="0.000000"/>
    <numFmt numFmtId="168" formatCode="0.0000"/>
    <numFmt numFmtId="169" formatCode="0.0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perscript"/>
      <sz val="11"/>
      <color theme="1" tint="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Arial"/>
      <family val="2"/>
    </font>
    <font>
      <b/>
      <sz val="9"/>
      <name val="Arial"/>
      <family val="2"/>
    </font>
    <font>
      <b/>
      <vertAlign val="superscript"/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007">
    <xf numFmtId="0" fontId="0" fillId="0" borderId="0" xfId="0"/>
    <xf numFmtId="164" fontId="1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3" borderId="7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1" fillId="2" borderId="15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2" fontId="1" fillId="0" borderId="22" xfId="0" applyNumberFormat="1" applyFont="1" applyBorder="1" applyAlignment="1">
      <alignment horizontal="center" vertical="center"/>
    </xf>
    <xf numFmtId="0" fontId="1" fillId="0" borderId="3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1" fillId="2" borderId="38" xfId="0" applyFont="1" applyFill="1" applyBorder="1" applyAlignment="1">
      <alignment horizontal="center" vertical="center"/>
    </xf>
    <xf numFmtId="0" fontId="1" fillId="2" borderId="39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5" fontId="1" fillId="0" borderId="17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1" fillId="0" borderId="30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" fillId="0" borderId="26" xfId="0" applyFont="1" applyBorder="1" applyAlignment="1">
      <alignment horizontal="center"/>
    </xf>
    <xf numFmtId="0" fontId="1" fillId="5" borderId="15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2" fontId="1" fillId="6" borderId="12" xfId="0" applyNumberFormat="1" applyFont="1" applyFill="1" applyBorder="1" applyAlignment="1">
      <alignment horizontal="center" vertical="center"/>
    </xf>
    <xf numFmtId="14" fontId="0" fillId="6" borderId="32" xfId="0" applyNumberForma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165" fontId="1" fillId="6" borderId="7" xfId="0" applyNumberFormat="1" applyFon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14" fontId="0" fillId="6" borderId="11" xfId="0" applyNumberFormat="1" applyFill="1" applyBorder="1" applyAlignment="1">
      <alignment horizontal="center" vertical="center"/>
    </xf>
    <xf numFmtId="2" fontId="1" fillId="7" borderId="12" xfId="0" applyNumberFormat="1" applyFont="1" applyFill="1" applyBorder="1" applyAlignment="1">
      <alignment horizontal="center" vertical="center"/>
    </xf>
    <xf numFmtId="14" fontId="0" fillId="7" borderId="32" xfId="0" applyNumberForma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165" fontId="1" fillId="7" borderId="7" xfId="0" applyNumberFormat="1" applyFont="1" applyFill="1" applyBorder="1" applyAlignment="1">
      <alignment horizontal="center" vertical="center"/>
    </xf>
    <xf numFmtId="14" fontId="0" fillId="7" borderId="8" xfId="0" applyNumberFormat="1" applyFill="1" applyBorder="1" applyAlignment="1">
      <alignment horizontal="center" vertical="center"/>
    </xf>
    <xf numFmtId="14" fontId="0" fillId="7" borderId="11" xfId="0" applyNumberFormat="1" applyFill="1" applyBorder="1" applyAlignment="1">
      <alignment horizontal="center" vertical="center"/>
    </xf>
    <xf numFmtId="2" fontId="1" fillId="8" borderId="12" xfId="0" applyNumberFormat="1" applyFont="1" applyFill="1" applyBorder="1" applyAlignment="1">
      <alignment horizontal="center" vertical="center"/>
    </xf>
    <xf numFmtId="14" fontId="0" fillId="8" borderId="32" xfId="0" applyNumberForma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165" fontId="1" fillId="8" borderId="7" xfId="0" applyNumberFormat="1" applyFont="1" applyFill="1" applyBorder="1" applyAlignment="1">
      <alignment horizontal="center" vertical="center"/>
    </xf>
    <xf numFmtId="14" fontId="0" fillId="8" borderId="8" xfId="0" applyNumberFormat="1" applyFill="1" applyBorder="1" applyAlignment="1">
      <alignment horizontal="center" vertical="center"/>
    </xf>
    <xf numFmtId="14" fontId="0" fillId="8" borderId="11" xfId="0" applyNumberFormat="1" applyFill="1" applyBorder="1" applyAlignment="1">
      <alignment horizontal="center" vertical="center"/>
    </xf>
    <xf numFmtId="2" fontId="1" fillId="9" borderId="12" xfId="0" applyNumberFormat="1" applyFont="1" applyFill="1" applyBorder="1" applyAlignment="1">
      <alignment horizontal="center" vertical="center"/>
    </xf>
    <xf numFmtId="14" fontId="0" fillId="9" borderId="32" xfId="0" applyNumberForma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165" fontId="1" fillId="9" borderId="7" xfId="0" applyNumberFormat="1" applyFont="1" applyFill="1" applyBorder="1" applyAlignment="1">
      <alignment horizontal="center" vertical="center"/>
    </xf>
    <xf numFmtId="14" fontId="0" fillId="9" borderId="8" xfId="0" applyNumberFormat="1" applyFill="1" applyBorder="1" applyAlignment="1">
      <alignment horizontal="center" vertical="center"/>
    </xf>
    <xf numFmtId="14" fontId="0" fillId="9" borderId="11" xfId="0" applyNumberFormat="1" applyFill="1" applyBorder="1" applyAlignment="1">
      <alignment horizontal="center" vertical="center"/>
    </xf>
    <xf numFmtId="2" fontId="1" fillId="10" borderId="12" xfId="0" applyNumberFormat="1" applyFont="1" applyFill="1" applyBorder="1" applyAlignment="1">
      <alignment horizontal="center" vertical="center"/>
    </xf>
    <xf numFmtId="14" fontId="0" fillId="10" borderId="32" xfId="0" applyNumberForma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0" fillId="10" borderId="17" xfId="0" applyFill="1" applyBorder="1" applyAlignment="1">
      <alignment horizontal="center" vertical="center"/>
    </xf>
    <xf numFmtId="165" fontId="1" fillId="10" borderId="7" xfId="0" applyNumberFormat="1" applyFont="1" applyFill="1" applyBorder="1" applyAlignment="1">
      <alignment horizontal="center" vertical="center"/>
    </xf>
    <xf numFmtId="14" fontId="0" fillId="10" borderId="8" xfId="0" applyNumberFormat="1" applyFill="1" applyBorder="1" applyAlignment="1">
      <alignment horizontal="center" vertical="center"/>
    </xf>
    <xf numFmtId="14" fontId="0" fillId="10" borderId="11" xfId="0" applyNumberFormat="1" applyFill="1" applyBorder="1" applyAlignment="1">
      <alignment horizontal="center" vertical="center"/>
    </xf>
    <xf numFmtId="2" fontId="1" fillId="11" borderId="12" xfId="0" applyNumberFormat="1" applyFont="1" applyFill="1" applyBorder="1" applyAlignment="1">
      <alignment horizontal="center" vertical="center"/>
    </xf>
    <xf numFmtId="14" fontId="0" fillId="11" borderId="32" xfId="0" applyNumberFormat="1" applyFill="1" applyBorder="1" applyAlignment="1">
      <alignment horizontal="center" vertical="center"/>
    </xf>
    <xf numFmtId="0" fontId="1" fillId="11" borderId="7" xfId="0" applyFont="1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165" fontId="1" fillId="11" borderId="7" xfId="0" applyNumberFormat="1" applyFont="1" applyFill="1" applyBorder="1" applyAlignment="1">
      <alignment horizontal="center" vertical="center"/>
    </xf>
    <xf numFmtId="14" fontId="0" fillId="11" borderId="8" xfId="0" applyNumberForma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14" fontId="0" fillId="11" borderId="11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6" fillId="2" borderId="28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14" fontId="0" fillId="5" borderId="2" xfId="0" applyNumberFormat="1" applyFill="1" applyBorder="1" applyAlignment="1">
      <alignment horizontal="center" vertical="center"/>
    </xf>
    <xf numFmtId="0" fontId="6" fillId="11" borderId="41" xfId="0" applyFont="1" applyFill="1" applyBorder="1" applyAlignment="1">
      <alignment horizontal="center" vertical="center"/>
    </xf>
    <xf numFmtId="0" fontId="6" fillId="11" borderId="42" xfId="0" applyFont="1" applyFill="1" applyBorder="1" applyAlignment="1">
      <alignment horizontal="center" vertical="center"/>
    </xf>
    <xf numFmtId="0" fontId="6" fillId="2" borderId="43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1" fillId="5" borderId="24" xfId="0" applyFont="1" applyFill="1" applyBorder="1" applyAlignment="1">
      <alignment horizontal="center"/>
    </xf>
    <xf numFmtId="14" fontId="0" fillId="5" borderId="24" xfId="0" applyNumberFormat="1" applyFill="1" applyBorder="1" applyAlignment="1">
      <alignment horizontal="center" vertical="center"/>
    </xf>
    <xf numFmtId="2" fontId="1" fillId="6" borderId="14" xfId="0" applyNumberFormat="1" applyFont="1" applyFill="1" applyBorder="1" applyAlignment="1">
      <alignment horizontal="center" vertical="center"/>
    </xf>
    <xf numFmtId="14" fontId="0" fillId="6" borderId="25" xfId="0" applyNumberFormat="1" applyFill="1" applyBorder="1" applyAlignment="1">
      <alignment horizontal="center" vertical="center"/>
    </xf>
    <xf numFmtId="2" fontId="1" fillId="7" borderId="14" xfId="0" applyNumberFormat="1" applyFont="1" applyFill="1" applyBorder="1" applyAlignment="1">
      <alignment horizontal="center" vertical="center"/>
    </xf>
    <xf numFmtId="14" fontId="0" fillId="7" borderId="25" xfId="0" applyNumberFormat="1" applyFill="1" applyBorder="1" applyAlignment="1">
      <alignment horizontal="center" vertical="center"/>
    </xf>
    <xf numFmtId="2" fontId="1" fillId="8" borderId="14" xfId="0" applyNumberFormat="1" applyFont="1" applyFill="1" applyBorder="1" applyAlignment="1">
      <alignment horizontal="center" vertical="center"/>
    </xf>
    <xf numFmtId="14" fontId="0" fillId="8" borderId="25" xfId="0" applyNumberFormat="1" applyFill="1" applyBorder="1" applyAlignment="1">
      <alignment horizontal="center" vertical="center"/>
    </xf>
    <xf numFmtId="2" fontId="1" fillId="9" borderId="14" xfId="0" applyNumberFormat="1" applyFont="1" applyFill="1" applyBorder="1" applyAlignment="1">
      <alignment horizontal="center" vertical="center"/>
    </xf>
    <xf numFmtId="14" fontId="0" fillId="9" borderId="25" xfId="0" applyNumberFormat="1" applyFill="1" applyBorder="1" applyAlignment="1">
      <alignment horizontal="center" vertical="center"/>
    </xf>
    <xf numFmtId="2" fontId="1" fillId="10" borderId="14" xfId="0" applyNumberFormat="1" applyFont="1" applyFill="1" applyBorder="1" applyAlignment="1">
      <alignment horizontal="center" vertical="center"/>
    </xf>
    <xf numFmtId="14" fontId="0" fillId="10" borderId="25" xfId="0" applyNumberFormat="1" applyFill="1" applyBorder="1" applyAlignment="1">
      <alignment horizontal="center" vertical="center"/>
    </xf>
    <xf numFmtId="2" fontId="1" fillId="11" borderId="14" xfId="0" applyNumberFormat="1" applyFont="1" applyFill="1" applyBorder="1" applyAlignment="1">
      <alignment horizontal="center" vertical="center"/>
    </xf>
    <xf numFmtId="14" fontId="0" fillId="11" borderId="25" xfId="0" applyNumberFormat="1" applyFill="1" applyBorder="1" applyAlignment="1">
      <alignment horizontal="center" vertical="center"/>
    </xf>
    <xf numFmtId="0" fontId="6" fillId="5" borderId="43" xfId="0" applyFont="1" applyFill="1" applyBorder="1" applyAlignment="1">
      <alignment horizontal="center" vertical="center"/>
    </xf>
    <xf numFmtId="0" fontId="6" fillId="5" borderId="44" xfId="0" applyFont="1" applyFill="1" applyBorder="1" applyAlignment="1">
      <alignment horizontal="center" vertical="center"/>
    </xf>
    <xf numFmtId="0" fontId="6" fillId="7" borderId="48" xfId="0" applyFont="1" applyFill="1" applyBorder="1" applyAlignment="1">
      <alignment horizontal="center" vertical="center"/>
    </xf>
    <xf numFmtId="0" fontId="6" fillId="7" borderId="50" xfId="0" applyFont="1" applyFill="1" applyBorder="1" applyAlignment="1">
      <alignment horizontal="center" vertical="center"/>
    </xf>
    <xf numFmtId="0" fontId="6" fillId="6" borderId="43" xfId="0" applyFont="1" applyFill="1" applyBorder="1" applyAlignment="1">
      <alignment horizontal="center" vertical="center"/>
    </xf>
    <xf numFmtId="0" fontId="6" fillId="6" borderId="44" xfId="0" applyFont="1" applyFill="1" applyBorder="1" applyAlignment="1">
      <alignment horizontal="center" vertical="center"/>
    </xf>
    <xf numFmtId="0" fontId="6" fillId="8" borderId="48" xfId="0" applyFont="1" applyFill="1" applyBorder="1" applyAlignment="1">
      <alignment horizontal="center" vertical="center"/>
    </xf>
    <xf numFmtId="0" fontId="6" fillId="8" borderId="50" xfId="0" applyFont="1" applyFill="1" applyBorder="1" applyAlignment="1">
      <alignment horizontal="center" vertical="center"/>
    </xf>
    <xf numFmtId="0" fontId="6" fillId="7" borderId="43" xfId="0" applyFont="1" applyFill="1" applyBorder="1" applyAlignment="1">
      <alignment horizontal="center" vertical="center"/>
    </xf>
    <xf numFmtId="0" fontId="6" fillId="7" borderId="44" xfId="0" applyFont="1" applyFill="1" applyBorder="1" applyAlignment="1">
      <alignment horizontal="center" vertical="center"/>
    </xf>
    <xf numFmtId="0" fontId="6" fillId="8" borderId="43" xfId="0" applyFont="1" applyFill="1" applyBorder="1" applyAlignment="1">
      <alignment horizontal="center" vertical="center"/>
    </xf>
    <xf numFmtId="0" fontId="6" fillId="8" borderId="44" xfId="0" applyFont="1" applyFill="1" applyBorder="1" applyAlignment="1">
      <alignment horizontal="center" vertical="center"/>
    </xf>
    <xf numFmtId="0" fontId="6" fillId="9" borderId="43" xfId="0" applyFont="1" applyFill="1" applyBorder="1" applyAlignment="1">
      <alignment horizontal="center" vertical="center"/>
    </xf>
    <xf numFmtId="0" fontId="6" fillId="9" borderId="44" xfId="0" applyFont="1" applyFill="1" applyBorder="1" applyAlignment="1">
      <alignment horizontal="center" vertical="center"/>
    </xf>
    <xf numFmtId="0" fontId="6" fillId="10" borderId="43" xfId="0" applyFont="1" applyFill="1" applyBorder="1" applyAlignment="1">
      <alignment horizontal="center" vertical="center"/>
    </xf>
    <xf numFmtId="0" fontId="6" fillId="10" borderId="44" xfId="0" applyFont="1" applyFill="1" applyBorder="1" applyAlignment="1">
      <alignment horizontal="center" vertical="center"/>
    </xf>
    <xf numFmtId="0" fontId="6" fillId="11" borderId="43" xfId="0" applyFont="1" applyFill="1" applyBorder="1" applyAlignment="1">
      <alignment horizontal="center" vertical="center"/>
    </xf>
    <xf numFmtId="0" fontId="6" fillId="11" borderId="44" xfId="0" applyFont="1" applyFill="1" applyBorder="1" applyAlignment="1">
      <alignment horizontal="center" vertical="center"/>
    </xf>
    <xf numFmtId="14" fontId="0" fillId="5" borderId="38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14" fontId="0" fillId="5" borderId="10" xfId="0" applyNumberForma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165" fontId="1" fillId="0" borderId="32" xfId="0" applyNumberFormat="1" applyFont="1" applyBorder="1" applyAlignment="1">
      <alignment horizontal="center" vertical="center"/>
    </xf>
    <xf numFmtId="0" fontId="1" fillId="5" borderId="31" xfId="0" applyFont="1" applyFill="1" applyBorder="1" applyAlignment="1">
      <alignment horizontal="center" vertical="center"/>
    </xf>
    <xf numFmtId="14" fontId="0" fillId="5" borderId="31" xfId="0" applyNumberFormat="1" applyFill="1" applyBorder="1" applyAlignment="1">
      <alignment horizontal="center" vertical="center"/>
    </xf>
    <xf numFmtId="14" fontId="0" fillId="5" borderId="15" xfId="0" applyNumberForma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14" fontId="0" fillId="5" borderId="8" xfId="0" applyNumberFormat="1" applyFill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9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0" fontId="6" fillId="6" borderId="40" xfId="0" applyFont="1" applyFill="1" applyBorder="1" applyAlignment="1">
      <alignment horizontal="center" vertical="center"/>
    </xf>
    <xf numFmtId="0" fontId="6" fillId="9" borderId="48" xfId="0" applyFont="1" applyFill="1" applyBorder="1" applyAlignment="1">
      <alignment horizontal="center" vertical="center"/>
    </xf>
    <xf numFmtId="0" fontId="6" fillId="10" borderId="48" xfId="0" applyFont="1" applyFill="1" applyBorder="1" applyAlignment="1">
      <alignment horizontal="center" vertical="center"/>
    </xf>
    <xf numFmtId="0" fontId="6" fillId="11" borderId="48" xfId="0" applyFont="1" applyFill="1" applyBorder="1" applyAlignment="1">
      <alignment horizontal="center" vertical="center"/>
    </xf>
    <xf numFmtId="0" fontId="6" fillId="5" borderId="51" xfId="0" applyFont="1" applyFill="1" applyBorder="1" applyAlignment="1">
      <alignment horizontal="center" vertical="center"/>
    </xf>
    <xf numFmtId="0" fontId="6" fillId="6" borderId="51" xfId="0" applyFont="1" applyFill="1" applyBorder="1" applyAlignment="1">
      <alignment horizontal="center" vertical="center"/>
    </xf>
    <xf numFmtId="0" fontId="6" fillId="9" borderId="50" xfId="0" applyFont="1" applyFill="1" applyBorder="1" applyAlignment="1">
      <alignment horizontal="center" vertical="center"/>
    </xf>
    <xf numFmtId="0" fontId="6" fillId="10" borderId="50" xfId="0" applyFont="1" applyFill="1" applyBorder="1" applyAlignment="1">
      <alignment horizontal="center" vertical="center"/>
    </xf>
    <xf numFmtId="0" fontId="6" fillId="11" borderId="50" xfId="0" applyFont="1" applyFill="1" applyBorder="1" applyAlignment="1">
      <alignment horizontal="center" vertical="center"/>
    </xf>
    <xf numFmtId="14" fontId="0" fillId="5" borderId="13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14" fontId="0" fillId="5" borderId="8" xfId="0" applyNumberFormat="1" applyFill="1" applyBorder="1" applyAlignment="1">
      <alignment horizontal="center"/>
    </xf>
    <xf numFmtId="14" fontId="0" fillId="5" borderId="17" xfId="0" applyNumberFormat="1" applyFill="1" applyBorder="1" applyAlignment="1">
      <alignment horizontal="center" vertical="center"/>
    </xf>
    <xf numFmtId="0" fontId="1" fillId="6" borderId="30" xfId="0" applyFont="1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1" fillId="7" borderId="30" xfId="0" applyFont="1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0" fontId="1" fillId="10" borderId="30" xfId="0" applyFont="1" applyFill="1" applyBorder="1" applyAlignment="1">
      <alignment horizontal="center" vertical="center"/>
    </xf>
    <xf numFmtId="0" fontId="0" fillId="10" borderId="28" xfId="0" applyFill="1" applyBorder="1" applyAlignment="1">
      <alignment horizontal="center" vertical="center"/>
    </xf>
    <xf numFmtId="0" fontId="1" fillId="11" borderId="30" xfId="0" applyFont="1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165" fontId="1" fillId="6" borderId="9" xfId="0" applyNumberFormat="1" applyFont="1" applyFill="1" applyBorder="1" applyAlignment="1">
      <alignment horizontal="center" vertical="center"/>
    </xf>
    <xf numFmtId="165" fontId="1" fillId="7" borderId="9" xfId="0" applyNumberFormat="1" applyFont="1" applyFill="1" applyBorder="1" applyAlignment="1">
      <alignment horizontal="center" vertical="center"/>
    </xf>
    <xf numFmtId="165" fontId="1" fillId="8" borderId="9" xfId="0" applyNumberFormat="1" applyFont="1" applyFill="1" applyBorder="1" applyAlignment="1">
      <alignment horizontal="center" vertical="center"/>
    </xf>
    <xf numFmtId="165" fontId="1" fillId="9" borderId="9" xfId="0" applyNumberFormat="1" applyFont="1" applyFill="1" applyBorder="1" applyAlignment="1">
      <alignment horizontal="center" vertical="center"/>
    </xf>
    <xf numFmtId="165" fontId="1" fillId="10" borderId="9" xfId="0" applyNumberFormat="1" applyFont="1" applyFill="1" applyBorder="1" applyAlignment="1">
      <alignment horizontal="center" vertical="center"/>
    </xf>
    <xf numFmtId="165" fontId="1" fillId="11" borderId="9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14" fontId="0" fillId="5" borderId="11" xfId="0" applyNumberFormat="1" applyFill="1" applyBorder="1" applyAlignment="1">
      <alignment horizontal="center" vertical="center"/>
    </xf>
    <xf numFmtId="14" fontId="0" fillId="5" borderId="28" xfId="0" applyNumberFormat="1" applyFill="1" applyBorder="1" applyAlignment="1">
      <alignment horizontal="center" vertical="center"/>
    </xf>
    <xf numFmtId="14" fontId="0" fillId="5" borderId="11" xfId="0" applyNumberForma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 vertical="center"/>
    </xf>
    <xf numFmtId="14" fontId="0" fillId="5" borderId="22" xfId="0" applyNumberFormat="1" applyFill="1" applyBorder="1" applyAlignment="1">
      <alignment horizontal="center" vertical="center"/>
    </xf>
    <xf numFmtId="14" fontId="9" fillId="6" borderId="32" xfId="0" applyNumberFormat="1" applyFont="1" applyFill="1" applyBorder="1" applyAlignment="1">
      <alignment horizontal="center" vertical="center"/>
    </xf>
    <xf numFmtId="2" fontId="6" fillId="6" borderId="12" xfId="0" applyNumberFormat="1" applyFont="1" applyFill="1" applyBorder="1" applyAlignment="1">
      <alignment horizontal="center" vertical="center"/>
    </xf>
    <xf numFmtId="2" fontId="6" fillId="7" borderId="12" xfId="0" applyNumberFormat="1" applyFont="1" applyFill="1" applyBorder="1" applyAlignment="1">
      <alignment horizontal="center" vertical="center"/>
    </xf>
    <xf numFmtId="14" fontId="9" fillId="7" borderId="32" xfId="0" applyNumberFormat="1" applyFont="1" applyFill="1" applyBorder="1" applyAlignment="1">
      <alignment horizontal="center" vertical="center"/>
    </xf>
    <xf numFmtId="2" fontId="6" fillId="8" borderId="12" xfId="0" applyNumberFormat="1" applyFont="1" applyFill="1" applyBorder="1" applyAlignment="1">
      <alignment horizontal="center" vertical="center"/>
    </xf>
    <xf numFmtId="14" fontId="9" fillId="8" borderId="32" xfId="0" applyNumberFormat="1" applyFont="1" applyFill="1" applyBorder="1" applyAlignment="1">
      <alignment horizontal="center" vertical="center"/>
    </xf>
    <xf numFmtId="2" fontId="6" fillId="9" borderId="12" xfId="0" applyNumberFormat="1" applyFont="1" applyFill="1" applyBorder="1" applyAlignment="1">
      <alignment horizontal="center" vertical="center"/>
    </xf>
    <xf numFmtId="14" fontId="9" fillId="9" borderId="32" xfId="0" applyNumberFormat="1" applyFont="1" applyFill="1" applyBorder="1" applyAlignment="1">
      <alignment horizontal="center" vertical="center"/>
    </xf>
    <xf numFmtId="2" fontId="6" fillId="10" borderId="12" xfId="0" applyNumberFormat="1" applyFont="1" applyFill="1" applyBorder="1" applyAlignment="1">
      <alignment horizontal="center" vertical="center"/>
    </xf>
    <xf numFmtId="14" fontId="9" fillId="10" borderId="32" xfId="0" applyNumberFormat="1" applyFont="1" applyFill="1" applyBorder="1" applyAlignment="1">
      <alignment horizontal="center" vertical="center"/>
    </xf>
    <xf numFmtId="2" fontId="6" fillId="11" borderId="12" xfId="0" applyNumberFormat="1" applyFont="1" applyFill="1" applyBorder="1" applyAlignment="1">
      <alignment horizontal="center" vertical="center"/>
    </xf>
    <xf numFmtId="14" fontId="9" fillId="11" borderId="32" xfId="0" applyNumberFormat="1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6" fillId="9" borderId="7" xfId="0" applyFont="1" applyFill="1" applyBorder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14" fontId="9" fillId="5" borderId="46" xfId="0" applyNumberFormat="1" applyFont="1" applyFill="1" applyBorder="1" applyAlignment="1">
      <alignment horizontal="center" vertical="center"/>
    </xf>
    <xf numFmtId="165" fontId="6" fillId="6" borderId="7" xfId="0" applyNumberFormat="1" applyFont="1" applyFill="1" applyBorder="1" applyAlignment="1">
      <alignment horizontal="center" vertical="center"/>
    </xf>
    <xf numFmtId="14" fontId="9" fillId="6" borderId="8" xfId="0" applyNumberFormat="1" applyFont="1" applyFill="1" applyBorder="1" applyAlignment="1">
      <alignment horizontal="center" vertical="center"/>
    </xf>
    <xf numFmtId="165" fontId="6" fillId="7" borderId="7" xfId="0" applyNumberFormat="1" applyFont="1" applyFill="1" applyBorder="1" applyAlignment="1">
      <alignment horizontal="center" vertical="center"/>
    </xf>
    <xf numFmtId="14" fontId="9" fillId="7" borderId="8" xfId="0" applyNumberFormat="1" applyFont="1" applyFill="1" applyBorder="1" applyAlignment="1">
      <alignment horizontal="center" vertical="center"/>
    </xf>
    <xf numFmtId="165" fontId="6" fillId="8" borderId="7" xfId="0" applyNumberFormat="1" applyFont="1" applyFill="1" applyBorder="1" applyAlignment="1">
      <alignment horizontal="center" vertical="center"/>
    </xf>
    <xf numFmtId="14" fontId="9" fillId="8" borderId="8" xfId="0" applyNumberFormat="1" applyFont="1" applyFill="1" applyBorder="1" applyAlignment="1">
      <alignment horizontal="center" vertical="center"/>
    </xf>
    <xf numFmtId="165" fontId="6" fillId="9" borderId="7" xfId="0" applyNumberFormat="1" applyFont="1" applyFill="1" applyBorder="1" applyAlignment="1">
      <alignment horizontal="center" vertical="center"/>
    </xf>
    <xf numFmtId="14" fontId="9" fillId="9" borderId="8" xfId="0" applyNumberFormat="1" applyFont="1" applyFill="1" applyBorder="1" applyAlignment="1">
      <alignment horizontal="center" vertical="center"/>
    </xf>
    <xf numFmtId="165" fontId="6" fillId="10" borderId="7" xfId="0" applyNumberFormat="1" applyFont="1" applyFill="1" applyBorder="1" applyAlignment="1">
      <alignment horizontal="center" vertical="center"/>
    </xf>
    <xf numFmtId="14" fontId="9" fillId="10" borderId="8" xfId="0" applyNumberFormat="1" applyFont="1" applyFill="1" applyBorder="1" applyAlignment="1">
      <alignment horizontal="center" vertical="center"/>
    </xf>
    <xf numFmtId="165" fontId="6" fillId="11" borderId="7" xfId="0" applyNumberFormat="1" applyFont="1" applyFill="1" applyBorder="1" applyAlignment="1">
      <alignment horizontal="center" vertical="center"/>
    </xf>
    <xf numFmtId="14" fontId="9" fillId="11" borderId="8" xfId="0" applyNumberFormat="1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9" fillId="11" borderId="8" xfId="0" applyFont="1" applyFill="1" applyBorder="1" applyAlignment="1">
      <alignment horizontal="center" vertical="center"/>
    </xf>
    <xf numFmtId="14" fontId="9" fillId="5" borderId="47" xfId="0" applyNumberFormat="1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14" fontId="9" fillId="6" borderId="11" xfId="0" applyNumberFormat="1" applyFont="1" applyFill="1" applyBorder="1" applyAlignment="1">
      <alignment horizontal="center" vertical="center"/>
    </xf>
    <xf numFmtId="0" fontId="6" fillId="7" borderId="14" xfId="0" applyFont="1" applyFill="1" applyBorder="1" applyAlignment="1">
      <alignment horizontal="center" vertical="center"/>
    </xf>
    <xf numFmtId="14" fontId="9" fillId="7" borderId="11" xfId="0" applyNumberFormat="1" applyFont="1" applyFill="1" applyBorder="1" applyAlignment="1">
      <alignment horizontal="center" vertical="center"/>
    </xf>
    <xf numFmtId="0" fontId="6" fillId="8" borderId="14" xfId="0" applyFont="1" applyFill="1" applyBorder="1" applyAlignment="1">
      <alignment horizontal="center" vertical="center"/>
    </xf>
    <xf numFmtId="14" fontId="9" fillId="8" borderId="11" xfId="0" applyNumberFormat="1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14" fontId="9" fillId="9" borderId="11" xfId="0" applyNumberFormat="1" applyFont="1" applyFill="1" applyBorder="1" applyAlignment="1">
      <alignment horizontal="center" vertical="center"/>
    </xf>
    <xf numFmtId="0" fontId="6" fillId="10" borderId="14" xfId="0" applyFont="1" applyFill="1" applyBorder="1" applyAlignment="1">
      <alignment horizontal="center" vertical="center"/>
    </xf>
    <xf numFmtId="14" fontId="9" fillId="10" borderId="11" xfId="0" applyNumberFormat="1" applyFont="1" applyFill="1" applyBorder="1" applyAlignment="1">
      <alignment horizontal="center" vertical="center"/>
    </xf>
    <xf numFmtId="0" fontId="6" fillId="11" borderId="14" xfId="0" applyFont="1" applyFill="1" applyBorder="1" applyAlignment="1">
      <alignment horizontal="center" vertical="center"/>
    </xf>
    <xf numFmtId="14" fontId="9" fillId="11" borderId="11" xfId="0" applyNumberFormat="1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/>
    </xf>
    <xf numFmtId="14" fontId="0" fillId="5" borderId="25" xfId="0" applyNumberFormat="1" applyFill="1" applyBorder="1" applyAlignment="1">
      <alignment horizontal="center" vertical="center"/>
    </xf>
    <xf numFmtId="0" fontId="1" fillId="6" borderId="23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1" fillId="7" borderId="23" xfId="0" applyFont="1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0" fillId="10" borderId="25" xfId="0" applyFill="1" applyBorder="1" applyAlignment="1">
      <alignment horizontal="center" vertical="center"/>
    </xf>
    <xf numFmtId="0" fontId="1" fillId="11" borderId="23" xfId="0" applyFont="1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2" xfId="0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1" fillId="5" borderId="30" xfId="0" applyFont="1" applyFill="1" applyBorder="1" applyAlignment="1">
      <alignment horizontal="center" vertical="center"/>
    </xf>
    <xf numFmtId="14" fontId="0" fillId="5" borderId="32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9" borderId="9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6" fillId="11" borderId="9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1" fillId="6" borderId="35" xfId="0" applyFont="1" applyFill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165" fontId="1" fillId="6" borderId="30" xfId="0" applyNumberFormat="1" applyFont="1" applyFill="1" applyBorder="1" applyAlignment="1">
      <alignment horizontal="center" vertical="center"/>
    </xf>
    <xf numFmtId="165" fontId="1" fillId="7" borderId="30" xfId="0" applyNumberFormat="1" applyFont="1" applyFill="1" applyBorder="1" applyAlignment="1">
      <alignment horizontal="center" vertical="center"/>
    </xf>
    <xf numFmtId="165" fontId="1" fillId="8" borderId="30" xfId="0" applyNumberFormat="1" applyFont="1" applyFill="1" applyBorder="1" applyAlignment="1">
      <alignment horizontal="center" vertical="center"/>
    </xf>
    <xf numFmtId="165" fontId="1" fillId="9" borderId="30" xfId="0" applyNumberFormat="1" applyFont="1" applyFill="1" applyBorder="1" applyAlignment="1">
      <alignment horizontal="center" vertical="center"/>
    </xf>
    <xf numFmtId="165" fontId="1" fillId="10" borderId="30" xfId="0" applyNumberFormat="1" applyFont="1" applyFill="1" applyBorder="1" applyAlignment="1">
      <alignment horizontal="center" vertical="center"/>
    </xf>
    <xf numFmtId="165" fontId="1" fillId="11" borderId="30" xfId="0" applyNumberFormat="1" applyFont="1" applyFill="1" applyBorder="1" applyAlignment="1">
      <alignment horizontal="center" vertical="center"/>
    </xf>
    <xf numFmtId="165" fontId="1" fillId="0" borderId="11" xfId="0" applyNumberFormat="1" applyFont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0" fillId="0" borderId="31" xfId="0" applyBorder="1" applyAlignment="1">
      <alignment horizontal="center"/>
    </xf>
    <xf numFmtId="165" fontId="1" fillId="3" borderId="13" xfId="0" applyNumberFormat="1" applyFont="1" applyFill="1" applyBorder="1" applyAlignment="1">
      <alignment horizontal="center" vertical="center"/>
    </xf>
    <xf numFmtId="165" fontId="1" fillId="3" borderId="11" xfId="0" applyNumberFormat="1" applyFont="1" applyFill="1" applyBorder="1" applyAlignment="1">
      <alignment horizontal="center" vertical="center"/>
    </xf>
    <xf numFmtId="0" fontId="6" fillId="6" borderId="49" xfId="0" applyFont="1" applyFill="1" applyBorder="1" applyAlignment="1">
      <alignment horizontal="center" vertical="center"/>
    </xf>
    <xf numFmtId="0" fontId="6" fillId="7" borderId="49" xfId="0" applyFont="1" applyFill="1" applyBorder="1" applyAlignment="1">
      <alignment horizontal="center" vertical="center"/>
    </xf>
    <xf numFmtId="0" fontId="6" fillId="8" borderId="49" xfId="0" applyFont="1" applyFill="1" applyBorder="1" applyAlignment="1">
      <alignment horizontal="center" vertical="center"/>
    </xf>
    <xf numFmtId="0" fontId="6" fillId="9" borderId="49" xfId="0" applyFont="1" applyFill="1" applyBorder="1" applyAlignment="1">
      <alignment horizontal="center" vertical="center"/>
    </xf>
    <xf numFmtId="0" fontId="6" fillId="10" borderId="49" xfId="0" applyFont="1" applyFill="1" applyBorder="1" applyAlignment="1">
      <alignment horizontal="center" vertical="center"/>
    </xf>
    <xf numFmtId="0" fontId="6" fillId="11" borderId="49" xfId="0" applyFont="1" applyFill="1" applyBorder="1" applyAlignment="1">
      <alignment horizontal="center" vertical="center"/>
    </xf>
    <xf numFmtId="14" fontId="0" fillId="6" borderId="39" xfId="0" applyNumberFormat="1" applyFill="1" applyBorder="1" applyAlignment="1">
      <alignment horizontal="center" vertical="center"/>
    </xf>
    <xf numFmtId="14" fontId="0" fillId="7" borderId="39" xfId="0" applyNumberFormat="1" applyFill="1" applyBorder="1" applyAlignment="1">
      <alignment horizontal="center" vertical="center"/>
    </xf>
    <xf numFmtId="14" fontId="0" fillId="8" borderId="39" xfId="0" applyNumberFormat="1" applyFill="1" applyBorder="1" applyAlignment="1">
      <alignment horizontal="center" vertical="center"/>
    </xf>
    <xf numFmtId="14" fontId="0" fillId="9" borderId="39" xfId="0" applyNumberFormat="1" applyFill="1" applyBorder="1" applyAlignment="1">
      <alignment horizontal="center" vertical="center"/>
    </xf>
    <xf numFmtId="14" fontId="0" fillId="10" borderId="39" xfId="0" applyNumberFormat="1" applyFill="1" applyBorder="1" applyAlignment="1">
      <alignment horizontal="center" vertical="center"/>
    </xf>
    <xf numFmtId="14" fontId="0" fillId="11" borderId="39" xfId="0" applyNumberFormat="1" applyFill="1" applyBorder="1" applyAlignment="1">
      <alignment horizontal="center" vertical="center"/>
    </xf>
    <xf numFmtId="0" fontId="6" fillId="5" borderId="49" xfId="0" applyFont="1" applyFill="1" applyBorder="1" applyAlignment="1">
      <alignment horizontal="center" vertical="center"/>
    </xf>
    <xf numFmtId="14" fontId="9" fillId="6" borderId="31" xfId="0" applyNumberFormat="1" applyFont="1" applyFill="1" applyBorder="1" applyAlignment="1">
      <alignment horizontal="center" vertical="center"/>
    </xf>
    <xf numFmtId="0" fontId="6" fillId="7" borderId="31" xfId="0" applyFont="1" applyFill="1" applyBorder="1" applyAlignment="1">
      <alignment horizontal="center" vertical="center"/>
    </xf>
    <xf numFmtId="14" fontId="9" fillId="7" borderId="31" xfId="0" applyNumberFormat="1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14" fontId="9" fillId="8" borderId="31" xfId="0" applyNumberFormat="1" applyFont="1" applyFill="1" applyBorder="1" applyAlignment="1">
      <alignment horizontal="center" vertical="center"/>
    </xf>
    <xf numFmtId="0" fontId="6" fillId="9" borderId="31" xfId="0" applyFont="1" applyFill="1" applyBorder="1" applyAlignment="1">
      <alignment horizontal="center" vertical="center"/>
    </xf>
    <xf numFmtId="14" fontId="9" fillId="9" borderId="31" xfId="0" applyNumberFormat="1" applyFont="1" applyFill="1" applyBorder="1" applyAlignment="1">
      <alignment horizontal="center" vertical="center"/>
    </xf>
    <xf numFmtId="0" fontId="6" fillId="10" borderId="31" xfId="0" applyFont="1" applyFill="1" applyBorder="1" applyAlignment="1">
      <alignment horizontal="center" vertical="center"/>
    </xf>
    <xf numFmtId="14" fontId="9" fillId="10" borderId="31" xfId="0" applyNumberFormat="1" applyFont="1" applyFill="1" applyBorder="1" applyAlignment="1">
      <alignment horizontal="center" vertical="center"/>
    </xf>
    <xf numFmtId="0" fontId="6" fillId="11" borderId="31" xfId="0" applyFont="1" applyFill="1" applyBorder="1" applyAlignment="1">
      <alignment horizontal="center" vertical="center"/>
    </xf>
    <xf numFmtId="14" fontId="9" fillId="6" borderId="10" xfId="0" applyNumberFormat="1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14" fontId="9" fillId="7" borderId="10" xfId="0" applyNumberFormat="1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14" fontId="9" fillId="8" borderId="10" xfId="0" applyNumberFormat="1" applyFont="1" applyFill="1" applyBorder="1" applyAlignment="1">
      <alignment horizontal="center" vertical="center"/>
    </xf>
    <xf numFmtId="0" fontId="6" fillId="9" borderId="10" xfId="0" applyFont="1" applyFill="1" applyBorder="1" applyAlignment="1">
      <alignment horizontal="center" vertical="center"/>
    </xf>
    <xf numFmtId="14" fontId="9" fillId="9" borderId="10" xfId="0" applyNumberFormat="1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14" fontId="9" fillId="10" borderId="10" xfId="0" applyNumberFormat="1" applyFont="1" applyFill="1" applyBorder="1" applyAlignment="1">
      <alignment horizontal="center" vertical="center"/>
    </xf>
    <xf numFmtId="0" fontId="6" fillId="11" borderId="10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6" fillId="6" borderId="56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2" fontId="1" fillId="6" borderId="30" xfId="0" applyNumberFormat="1" applyFont="1" applyFill="1" applyBorder="1" applyAlignment="1">
      <alignment horizontal="center" vertical="center"/>
    </xf>
    <xf numFmtId="2" fontId="1" fillId="6" borderId="7" xfId="0" applyNumberFormat="1" applyFont="1" applyFill="1" applyBorder="1" applyAlignment="1">
      <alignment horizontal="center" vertical="center"/>
    </xf>
    <xf numFmtId="14" fontId="0" fillId="6" borderId="28" xfId="0" applyNumberFormat="1" applyFill="1" applyBorder="1" applyAlignment="1">
      <alignment horizontal="center" vertical="center"/>
    </xf>
    <xf numFmtId="14" fontId="0" fillId="7" borderId="28" xfId="0" applyNumberFormat="1" applyFill="1" applyBorder="1" applyAlignment="1">
      <alignment horizontal="center" vertical="center"/>
    </xf>
    <xf numFmtId="14" fontId="0" fillId="7" borderId="2" xfId="0" applyNumberFormat="1" applyFill="1" applyBorder="1" applyAlignment="1">
      <alignment horizontal="center" vertical="center"/>
    </xf>
    <xf numFmtId="14" fontId="0" fillId="8" borderId="2" xfId="0" applyNumberFormat="1" applyFill="1" applyBorder="1" applyAlignment="1">
      <alignment horizontal="center" vertical="center"/>
    </xf>
    <xf numFmtId="14" fontId="0" fillId="9" borderId="28" xfId="0" applyNumberFormat="1" applyFill="1" applyBorder="1" applyAlignment="1">
      <alignment horizontal="center" vertical="center"/>
    </xf>
    <xf numFmtId="14" fontId="0" fillId="9" borderId="2" xfId="0" applyNumberFormat="1" applyFill="1" applyBorder="1" applyAlignment="1">
      <alignment horizontal="center" vertical="center"/>
    </xf>
    <xf numFmtId="14" fontId="0" fillId="11" borderId="28" xfId="0" applyNumberForma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14" fontId="0" fillId="7" borderId="22" xfId="0" applyNumberForma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14" fontId="0" fillId="9" borderId="22" xfId="0" applyNumberFormat="1" applyFill="1" applyBorder="1" applyAlignment="1">
      <alignment horizontal="center" vertical="center"/>
    </xf>
    <xf numFmtId="14" fontId="0" fillId="11" borderId="22" xfId="0" applyNumberFormat="1" applyFill="1" applyBorder="1" applyAlignment="1">
      <alignment horizontal="center" vertical="center"/>
    </xf>
    <xf numFmtId="0" fontId="1" fillId="8" borderId="2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14" fontId="0" fillId="8" borderId="46" xfId="0" applyNumberFormat="1" applyFill="1" applyBorder="1" applyAlignment="1">
      <alignment horizontal="center" vertical="center"/>
    </xf>
    <xf numFmtId="14" fontId="0" fillId="8" borderId="55" xfId="0" applyNumberForma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  <xf numFmtId="0" fontId="1" fillId="10" borderId="29" xfId="0" applyFont="1" applyFill="1" applyBorder="1" applyAlignment="1">
      <alignment horizontal="center" vertical="center"/>
    </xf>
    <xf numFmtId="14" fontId="0" fillId="10" borderId="46" xfId="0" applyNumberFormat="1" applyFill="1" applyBorder="1" applyAlignment="1">
      <alignment horizontal="center" vertical="center"/>
    </xf>
    <xf numFmtId="14" fontId="0" fillId="10" borderId="55" xfId="0" applyNumberForma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/>
    </xf>
    <xf numFmtId="2" fontId="1" fillId="6" borderId="9" xfId="0" applyNumberFormat="1" applyFont="1" applyFill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165" fontId="1" fillId="5" borderId="7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right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14" fontId="0" fillId="6" borderId="59" xfId="0" applyNumberFormat="1" applyFill="1" applyBorder="1" applyAlignment="1">
      <alignment horizontal="center" vertical="center"/>
    </xf>
    <xf numFmtId="2" fontId="1" fillId="8" borderId="60" xfId="0" applyNumberFormat="1" applyFont="1" applyFill="1" applyBorder="1" applyAlignment="1">
      <alignment horizontal="center" vertical="center"/>
    </xf>
    <xf numFmtId="2" fontId="1" fillId="7" borderId="26" xfId="0" applyNumberFormat="1" applyFont="1" applyFill="1" applyBorder="1" applyAlignment="1">
      <alignment horizontal="center" vertical="center"/>
    </xf>
    <xf numFmtId="2" fontId="1" fillId="7" borderId="9" xfId="0" applyNumberFormat="1" applyFont="1" applyFill="1" applyBorder="1" applyAlignment="1">
      <alignment horizontal="center" vertical="center"/>
    </xf>
    <xf numFmtId="14" fontId="0" fillId="8" borderId="59" xfId="0" applyNumberFormat="1" applyFill="1" applyBorder="1" applyAlignment="1">
      <alignment horizontal="center" vertical="center"/>
    </xf>
    <xf numFmtId="2" fontId="1" fillId="10" borderId="60" xfId="0" applyNumberFormat="1" applyFont="1" applyFill="1" applyBorder="1" applyAlignment="1">
      <alignment horizontal="center" vertical="center"/>
    </xf>
    <xf numFmtId="2" fontId="1" fillId="9" borderId="26" xfId="0" applyNumberFormat="1" applyFont="1" applyFill="1" applyBorder="1" applyAlignment="1">
      <alignment horizontal="center" vertical="center"/>
    </xf>
    <xf numFmtId="2" fontId="1" fillId="9" borderId="9" xfId="0" applyNumberFormat="1" applyFont="1" applyFill="1" applyBorder="1" applyAlignment="1">
      <alignment horizontal="center" vertical="center"/>
    </xf>
    <xf numFmtId="14" fontId="0" fillId="10" borderId="59" xfId="0" applyNumberFormat="1" applyFill="1" applyBorder="1" applyAlignment="1">
      <alignment horizontal="center" vertical="center"/>
    </xf>
    <xf numFmtId="2" fontId="1" fillId="11" borderId="26" xfId="0" applyNumberFormat="1" applyFont="1" applyFill="1" applyBorder="1" applyAlignment="1">
      <alignment horizontal="center" vertical="center"/>
    </xf>
    <xf numFmtId="2" fontId="1" fillId="11" borderId="9" xfId="0" applyNumberFormat="1" applyFont="1" applyFill="1" applyBorder="1" applyAlignment="1">
      <alignment horizontal="center" vertical="center"/>
    </xf>
    <xf numFmtId="165" fontId="1" fillId="7" borderId="14" xfId="0" applyNumberFormat="1" applyFont="1" applyFill="1" applyBorder="1" applyAlignment="1">
      <alignment horizontal="center" vertical="center"/>
    </xf>
    <xf numFmtId="165" fontId="1" fillId="9" borderId="14" xfId="0" applyNumberFormat="1" applyFont="1" applyFill="1" applyBorder="1" applyAlignment="1">
      <alignment horizontal="center" vertical="center"/>
    </xf>
    <xf numFmtId="165" fontId="1" fillId="11" borderId="14" xfId="0" applyNumberFormat="1" applyFont="1" applyFill="1" applyBorder="1" applyAlignment="1">
      <alignment horizontal="center" vertical="center"/>
    </xf>
    <xf numFmtId="165" fontId="1" fillId="8" borderId="20" xfId="0" applyNumberFormat="1" applyFont="1" applyFill="1" applyBorder="1" applyAlignment="1">
      <alignment horizontal="center" vertical="center"/>
    </xf>
    <xf numFmtId="165" fontId="1" fillId="8" borderId="29" xfId="0" applyNumberFormat="1" applyFont="1" applyFill="1" applyBorder="1" applyAlignment="1">
      <alignment horizontal="center" vertical="center"/>
    </xf>
    <xf numFmtId="165" fontId="1" fillId="10" borderId="20" xfId="0" applyNumberFormat="1" applyFont="1" applyFill="1" applyBorder="1" applyAlignment="1">
      <alignment horizontal="center" vertical="center"/>
    </xf>
    <xf numFmtId="165" fontId="1" fillId="10" borderId="29" xfId="0" applyNumberFormat="1" applyFont="1" applyFill="1" applyBorder="1" applyAlignment="1">
      <alignment horizontal="center" vertical="center"/>
    </xf>
    <xf numFmtId="166" fontId="1" fillId="6" borderId="7" xfId="0" applyNumberFormat="1" applyFont="1" applyFill="1" applyBorder="1" applyAlignment="1">
      <alignment horizontal="center" vertical="center"/>
    </xf>
    <xf numFmtId="14" fontId="0" fillId="5" borderId="46" xfId="0" applyNumberFormat="1" applyFill="1" applyBorder="1" applyAlignment="1">
      <alignment horizontal="center" vertical="center"/>
    </xf>
    <xf numFmtId="0" fontId="1" fillId="6" borderId="33" xfId="0" applyFont="1" applyFill="1" applyBorder="1" applyAlignment="1">
      <alignment horizontal="center" vertical="center"/>
    </xf>
    <xf numFmtId="14" fontId="0" fillId="5" borderId="59" xfId="0" applyNumberFormat="1" applyFill="1" applyBorder="1" applyAlignment="1">
      <alignment horizontal="center" vertical="center"/>
    </xf>
    <xf numFmtId="14" fontId="0" fillId="5" borderId="16" xfId="0" applyNumberFormat="1" applyFill="1" applyBorder="1" applyAlignment="1">
      <alignment horizontal="center" vertical="center"/>
    </xf>
    <xf numFmtId="0" fontId="0" fillId="5" borderId="46" xfId="0" applyFill="1" applyBorder="1" applyAlignment="1">
      <alignment horizontal="center"/>
    </xf>
    <xf numFmtId="14" fontId="0" fillId="5" borderId="47" xfId="0" applyNumberForma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14" fontId="0" fillId="7" borderId="13" xfId="0" applyNumberFormat="1" applyFill="1" applyBorder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14" fontId="0" fillId="9" borderId="13" xfId="0" applyNumberFormat="1" applyFill="1" applyBorder="1" applyAlignment="1">
      <alignment horizontal="center" vertical="center"/>
    </xf>
    <xf numFmtId="0" fontId="1" fillId="11" borderId="12" xfId="0" applyFont="1" applyFill="1" applyBorder="1" applyAlignment="1">
      <alignment horizontal="center" vertical="center"/>
    </xf>
    <xf numFmtId="14" fontId="0" fillId="11" borderId="13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46" xfId="0" applyBorder="1" applyAlignment="1">
      <alignment horizontal="center"/>
    </xf>
    <xf numFmtId="165" fontId="1" fillId="5" borderId="26" xfId="0" applyNumberFormat="1" applyFont="1" applyFill="1" applyBorder="1" applyAlignment="1">
      <alignment horizontal="center"/>
    </xf>
    <xf numFmtId="165" fontId="1" fillId="5" borderId="9" xfId="0" applyNumberFormat="1" applyFont="1" applyFill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0" fillId="12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14" fontId="9" fillId="4" borderId="32" xfId="0" applyNumberFormat="1" applyFont="1" applyFill="1" applyBorder="1" applyAlignment="1">
      <alignment horizontal="center" vertical="center"/>
    </xf>
    <xf numFmtId="0" fontId="0" fillId="4" borderId="2" xfId="0" applyFill="1" applyBorder="1"/>
    <xf numFmtId="0" fontId="6" fillId="6" borderId="30" xfId="0" applyFont="1" applyFill="1" applyBorder="1" applyAlignment="1">
      <alignment horizontal="center" vertical="center"/>
    </xf>
    <xf numFmtId="0" fontId="6" fillId="8" borderId="30" xfId="0" applyFont="1" applyFill="1" applyBorder="1" applyAlignment="1">
      <alignment horizontal="center" vertical="center"/>
    </xf>
    <xf numFmtId="0" fontId="6" fillId="4" borderId="56" xfId="0" applyFont="1" applyFill="1" applyBorder="1" applyAlignment="1">
      <alignment horizontal="center" vertical="center"/>
    </xf>
    <xf numFmtId="0" fontId="6" fillId="10" borderId="30" xfId="0" applyFont="1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0" fillId="0" borderId="46" xfId="0" applyBorder="1"/>
    <xf numFmtId="165" fontId="1" fillId="0" borderId="46" xfId="0" applyNumberFormat="1" applyFont="1" applyBorder="1" applyAlignment="1">
      <alignment horizontal="center" vertical="center"/>
    </xf>
    <xf numFmtId="14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7" fillId="3" borderId="14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/>
    </xf>
    <xf numFmtId="0" fontId="1" fillId="0" borderId="0" xfId="0" applyFont="1"/>
    <xf numFmtId="0" fontId="7" fillId="0" borderId="0" xfId="0" applyFont="1" applyAlignment="1">
      <alignment horizontal="center"/>
    </xf>
    <xf numFmtId="0" fontId="11" fillId="0" borderId="0" xfId="0" applyFont="1"/>
    <xf numFmtId="0" fontId="7" fillId="0" borderId="0" xfId="0" applyFont="1"/>
    <xf numFmtId="0" fontId="12" fillId="0" borderId="0" xfId="1"/>
    <xf numFmtId="2" fontId="6" fillId="6" borderId="7" xfId="0" applyNumberFormat="1" applyFont="1" applyFill="1" applyBorder="1" applyAlignment="1">
      <alignment horizontal="center" vertical="center"/>
    </xf>
    <xf numFmtId="14" fontId="0" fillId="6" borderId="17" xfId="0" applyNumberFormat="1" applyFill="1" applyBorder="1" applyAlignment="1">
      <alignment horizontal="center" vertical="center"/>
    </xf>
    <xf numFmtId="2" fontId="1" fillId="7" borderId="7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2" fontId="1" fillId="8" borderId="7" xfId="0" applyNumberFormat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1" fillId="5" borderId="3" xfId="0" applyFont="1" applyFill="1" applyBorder="1" applyAlignment="1">
      <alignment horizontal="center"/>
    </xf>
    <xf numFmtId="2" fontId="1" fillId="6" borderId="3" xfId="0" applyNumberFormat="1" applyFon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 vertical="center"/>
    </xf>
    <xf numFmtId="2" fontId="1" fillId="7" borderId="3" xfId="0" applyNumberFormat="1" applyFont="1" applyFill="1" applyBorder="1" applyAlignment="1">
      <alignment horizontal="center" vertical="center"/>
    </xf>
    <xf numFmtId="14" fontId="0" fillId="7" borderId="3" xfId="0" applyNumberFormat="1" applyFill="1" applyBorder="1" applyAlignment="1">
      <alignment horizontal="center" vertical="center"/>
    </xf>
    <xf numFmtId="2" fontId="1" fillId="8" borderId="3" xfId="0" applyNumberFormat="1" applyFont="1" applyFill="1" applyBorder="1" applyAlignment="1">
      <alignment horizontal="center" vertical="center"/>
    </xf>
    <xf numFmtId="14" fontId="0" fillId="8" borderId="3" xfId="0" applyNumberForma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center" vertical="center"/>
    </xf>
    <xf numFmtId="14" fontId="0" fillId="9" borderId="3" xfId="0" applyNumberFormat="1" applyFill="1" applyBorder="1" applyAlignment="1">
      <alignment horizontal="center" vertical="center"/>
    </xf>
    <xf numFmtId="2" fontId="1" fillId="10" borderId="3" xfId="0" applyNumberFormat="1" applyFont="1" applyFill="1" applyBorder="1" applyAlignment="1">
      <alignment horizontal="center" vertical="center"/>
    </xf>
    <xf numFmtId="14" fontId="0" fillId="10" borderId="3" xfId="0" applyNumberForma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/>
    </xf>
    <xf numFmtId="14" fontId="0" fillId="11" borderId="3" xfId="0" applyNumberFormat="1" applyFill="1" applyBorder="1" applyAlignment="1">
      <alignment horizontal="center" vertical="center"/>
    </xf>
    <xf numFmtId="0" fontId="1" fillId="6" borderId="62" xfId="0" applyFont="1" applyFill="1" applyBorder="1" applyAlignment="1">
      <alignment horizontal="center" vertical="center"/>
    </xf>
    <xf numFmtId="0" fontId="1" fillId="7" borderId="26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10" borderId="26" xfId="0" applyFont="1" applyFill="1" applyBorder="1" applyAlignment="1">
      <alignment horizontal="center" vertical="center"/>
    </xf>
    <xf numFmtId="0" fontId="1" fillId="11" borderId="26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2" fontId="1" fillId="7" borderId="60" xfId="0" applyNumberFormat="1" applyFont="1" applyFill="1" applyBorder="1" applyAlignment="1">
      <alignment horizontal="center" vertical="center"/>
    </xf>
    <xf numFmtId="2" fontId="1" fillId="9" borderId="60" xfId="0" applyNumberFormat="1" applyFont="1" applyFill="1" applyBorder="1" applyAlignment="1">
      <alignment horizontal="center" vertical="center"/>
    </xf>
    <xf numFmtId="2" fontId="1" fillId="6" borderId="2" xfId="0" applyNumberFormat="1" applyFont="1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2" fontId="1" fillId="7" borderId="2" xfId="0" applyNumberFormat="1" applyFont="1" applyFill="1" applyBorder="1" applyAlignment="1">
      <alignment horizontal="center" vertical="center"/>
    </xf>
    <xf numFmtId="2" fontId="1" fillId="8" borderId="2" xfId="0" applyNumberFormat="1" applyFont="1" applyFill="1" applyBorder="1" applyAlignment="1">
      <alignment horizontal="center" vertical="center"/>
    </xf>
    <xf numFmtId="2" fontId="1" fillId="9" borderId="2" xfId="0" applyNumberFormat="1" applyFont="1" applyFill="1" applyBorder="1" applyAlignment="1">
      <alignment horizontal="center" vertical="center"/>
    </xf>
    <xf numFmtId="2" fontId="1" fillId="10" borderId="2" xfId="0" applyNumberFormat="1" applyFont="1" applyFill="1" applyBorder="1" applyAlignment="1">
      <alignment horizontal="center" vertical="center"/>
    </xf>
    <xf numFmtId="14" fontId="0" fillId="7" borderId="38" xfId="0" applyNumberFormat="1" applyFill="1" applyBorder="1" applyAlignment="1">
      <alignment horizontal="center" vertical="center"/>
    </xf>
    <xf numFmtId="14" fontId="0" fillId="8" borderId="38" xfId="0" applyNumberFormat="1" applyFill="1" applyBorder="1" applyAlignment="1">
      <alignment horizontal="center" vertical="center"/>
    </xf>
    <xf numFmtId="14" fontId="0" fillId="9" borderId="38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14" fontId="0" fillId="6" borderId="22" xfId="0" applyNumberForma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14" fontId="0" fillId="8" borderId="22" xfId="0" applyNumberFormat="1" applyFill="1" applyBorder="1" applyAlignment="1">
      <alignment horizontal="center" vertical="center"/>
    </xf>
    <xf numFmtId="0" fontId="1" fillId="10" borderId="14" xfId="0" applyFont="1" applyFill="1" applyBorder="1" applyAlignment="1">
      <alignment horizontal="center" vertical="center"/>
    </xf>
    <xf numFmtId="14" fontId="0" fillId="10" borderId="22" xfId="0" applyNumberFormat="1" applyFill="1" applyBorder="1" applyAlignment="1">
      <alignment horizontal="center" vertical="center"/>
    </xf>
    <xf numFmtId="0" fontId="1" fillId="7" borderId="33" xfId="0" applyFont="1" applyFill="1" applyBorder="1" applyAlignment="1">
      <alignment horizontal="center" vertical="center"/>
    </xf>
    <xf numFmtId="14" fontId="0" fillId="7" borderId="17" xfId="0" applyNumberForma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14" fontId="0" fillId="8" borderId="17" xfId="0" applyNumberForma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14" fontId="0" fillId="9" borderId="17" xfId="0" applyNumberFormat="1" applyFill="1" applyBorder="1" applyAlignment="1">
      <alignment horizontal="center" vertical="center"/>
    </xf>
    <xf numFmtId="0" fontId="1" fillId="10" borderId="33" xfId="0" applyFont="1" applyFill="1" applyBorder="1" applyAlignment="1">
      <alignment horizontal="center" vertical="center"/>
    </xf>
    <xf numFmtId="14" fontId="0" fillId="10" borderId="17" xfId="0" applyNumberFormat="1" applyFill="1" applyBorder="1" applyAlignment="1">
      <alignment horizontal="center" vertical="center"/>
    </xf>
    <xf numFmtId="0" fontId="1" fillId="11" borderId="33" xfId="0" applyFont="1" applyFill="1" applyBorder="1" applyAlignment="1">
      <alignment horizontal="center" vertical="center"/>
    </xf>
    <xf numFmtId="14" fontId="0" fillId="11" borderId="17" xfId="0" applyNumberFormat="1" applyFill="1" applyBorder="1" applyAlignment="1">
      <alignment horizontal="center" vertical="center"/>
    </xf>
    <xf numFmtId="2" fontId="1" fillId="6" borderId="38" xfId="0" applyNumberFormat="1" applyFont="1" applyFill="1" applyBorder="1" applyAlignment="1">
      <alignment horizontal="center" vertical="center"/>
    </xf>
    <xf numFmtId="0" fontId="0" fillId="0" borderId="63" xfId="0" applyBorder="1"/>
    <xf numFmtId="0" fontId="1" fillId="0" borderId="0" xfId="0" applyFont="1" applyAlignment="1">
      <alignment horizontal="left"/>
    </xf>
    <xf numFmtId="0" fontId="13" fillId="0" borderId="0" xfId="0" applyFont="1"/>
    <xf numFmtId="0" fontId="7" fillId="0" borderId="26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6" fillId="12" borderId="26" xfId="0" applyFont="1" applyFill="1" applyBorder="1" applyAlignment="1">
      <alignment horizontal="center" vertical="center"/>
    </xf>
    <xf numFmtId="14" fontId="9" fillId="12" borderId="28" xfId="0" applyNumberFormat="1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14" fontId="9" fillId="8" borderId="28" xfId="0" applyNumberFormat="1" applyFont="1" applyFill="1" applyBorder="1" applyAlignment="1">
      <alignment horizontal="center" vertical="center"/>
    </xf>
    <xf numFmtId="14" fontId="9" fillId="9" borderId="28" xfId="0" applyNumberFormat="1" applyFont="1" applyFill="1" applyBorder="1" applyAlignment="1">
      <alignment horizontal="center" vertical="center"/>
    </xf>
    <xf numFmtId="0" fontId="6" fillId="10" borderId="26" xfId="0" applyFont="1" applyFill="1" applyBorder="1" applyAlignment="1">
      <alignment horizontal="center" vertical="center"/>
    </xf>
    <xf numFmtId="14" fontId="9" fillId="10" borderId="28" xfId="0" applyNumberFormat="1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14" fontId="9" fillId="4" borderId="28" xfId="0" applyNumberFormat="1" applyFont="1" applyFill="1" applyBorder="1" applyAlignment="1">
      <alignment horizontal="center" vertical="center"/>
    </xf>
    <xf numFmtId="0" fontId="7" fillId="0" borderId="64" xfId="0" applyFont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14" fontId="9" fillId="12" borderId="8" xfId="0" applyNumberFormat="1" applyFont="1" applyFill="1" applyBorder="1" applyAlignment="1">
      <alignment horizontal="center" vertical="center"/>
    </xf>
    <xf numFmtId="0" fontId="6" fillId="4" borderId="20" xfId="0" applyFont="1" applyFill="1" applyBorder="1" applyAlignment="1">
      <alignment horizontal="center" vertical="center"/>
    </xf>
    <xf numFmtId="14" fontId="9" fillId="4" borderId="8" xfId="0" applyNumberFormat="1" applyFont="1" applyFill="1" applyBorder="1" applyAlignment="1">
      <alignment horizontal="center" vertical="center"/>
    </xf>
    <xf numFmtId="165" fontId="1" fillId="6" borderId="14" xfId="0" applyNumberFormat="1" applyFont="1" applyFill="1" applyBorder="1" applyAlignment="1">
      <alignment horizontal="center" vertical="center"/>
    </xf>
    <xf numFmtId="165" fontId="1" fillId="8" borderId="14" xfId="0" applyNumberFormat="1" applyFont="1" applyFill="1" applyBorder="1" applyAlignment="1">
      <alignment horizontal="center" vertical="center"/>
    </xf>
    <xf numFmtId="165" fontId="1" fillId="10" borderId="14" xfId="0" applyNumberFormat="1" applyFont="1" applyFill="1" applyBorder="1" applyAlignment="1">
      <alignment horizontal="center" vertical="center"/>
    </xf>
    <xf numFmtId="0" fontId="6" fillId="12" borderId="56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/>
    </xf>
    <xf numFmtId="0" fontId="9" fillId="11" borderId="11" xfId="0" applyFont="1" applyFill="1" applyBorder="1" applyAlignment="1">
      <alignment horizontal="center" vertical="center"/>
    </xf>
    <xf numFmtId="14" fontId="0" fillId="5" borderId="45" xfId="0" applyNumberFormat="1" applyFill="1" applyBorder="1" applyAlignment="1">
      <alignment horizontal="center" vertical="center"/>
    </xf>
    <xf numFmtId="14" fontId="0" fillId="5" borderId="46" xfId="0" applyNumberFormat="1" applyFill="1" applyBorder="1" applyAlignment="1">
      <alignment horizontal="center"/>
    </xf>
    <xf numFmtId="14" fontId="0" fillId="5" borderId="55" xfId="0" applyNumberFormat="1" applyFill="1" applyBorder="1" applyAlignment="1">
      <alignment horizontal="center"/>
    </xf>
    <xf numFmtId="0" fontId="1" fillId="7" borderId="56" xfId="0" applyFont="1" applyFill="1" applyBorder="1" applyAlignment="1">
      <alignment horizontal="center" vertical="center"/>
    </xf>
    <xf numFmtId="165" fontId="1" fillId="7" borderId="20" xfId="0" applyNumberFormat="1" applyFont="1" applyFill="1" applyBorder="1" applyAlignment="1">
      <alignment horizontal="center" vertical="center"/>
    </xf>
    <xf numFmtId="165" fontId="1" fillId="7" borderId="29" xfId="0" applyNumberFormat="1" applyFont="1" applyFill="1" applyBorder="1" applyAlignment="1">
      <alignment horizontal="center" vertical="center"/>
    </xf>
    <xf numFmtId="14" fontId="0" fillId="8" borderId="28" xfId="0" applyNumberFormat="1" applyFill="1" applyBorder="1" applyAlignment="1">
      <alignment horizontal="center" vertical="center"/>
    </xf>
    <xf numFmtId="14" fontId="0" fillId="6" borderId="64" xfId="0" applyNumberForma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/>
    </xf>
    <xf numFmtId="2" fontId="1" fillId="6" borderId="26" xfId="0" applyNumberFormat="1" applyFont="1" applyFill="1" applyBorder="1" applyAlignment="1">
      <alignment horizontal="center" vertical="center"/>
    </xf>
    <xf numFmtId="14" fontId="0" fillId="10" borderId="28" xfId="0" applyNumberFormat="1" applyFill="1" applyBorder="1" applyAlignment="1">
      <alignment horizontal="center" vertical="center"/>
    </xf>
    <xf numFmtId="14" fontId="0" fillId="5" borderId="13" xfId="0" applyNumberFormat="1" applyFill="1" applyBorder="1" applyAlignment="1">
      <alignment horizontal="center"/>
    </xf>
    <xf numFmtId="0" fontId="12" fillId="0" borderId="0" xfId="1" applyAlignment="1">
      <alignment horizontal="center"/>
    </xf>
    <xf numFmtId="0" fontId="0" fillId="0" borderId="0" xfId="0" applyAlignment="1">
      <alignment horizontal="center" vertical="center"/>
    </xf>
    <xf numFmtId="49" fontId="6" fillId="7" borderId="7" xfId="0" applyNumberFormat="1" applyFont="1" applyFill="1" applyBorder="1" applyAlignment="1">
      <alignment horizontal="center" vertical="center"/>
    </xf>
    <xf numFmtId="2" fontId="6" fillId="7" borderId="7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0" fillId="6" borderId="2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2" fontId="1" fillId="9" borderId="7" xfId="0" applyNumberFormat="1" applyFont="1" applyFill="1" applyBorder="1" applyAlignment="1">
      <alignment horizontal="center" vertical="center"/>
    </xf>
    <xf numFmtId="2" fontId="6" fillId="5" borderId="2" xfId="0" applyNumberFormat="1" applyFont="1" applyFill="1" applyBorder="1" applyAlignment="1">
      <alignment horizontal="center" vertical="center"/>
    </xf>
    <xf numFmtId="14" fontId="9" fillId="5" borderId="2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14" fontId="9" fillId="6" borderId="2" xfId="0" applyNumberFormat="1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6" fillId="11" borderId="2" xfId="0" applyFont="1" applyFill="1" applyBorder="1" applyAlignment="1">
      <alignment horizontal="center" vertical="center"/>
    </xf>
    <xf numFmtId="14" fontId="9" fillId="7" borderId="2" xfId="0" applyNumberFormat="1" applyFont="1" applyFill="1" applyBorder="1" applyAlignment="1">
      <alignment horizontal="center" vertical="center"/>
    </xf>
    <xf numFmtId="14" fontId="9" fillId="5" borderId="31" xfId="0" applyNumberFormat="1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2" fontId="6" fillId="5" borderId="10" xfId="0" applyNumberFormat="1" applyFont="1" applyFill="1" applyBorder="1" applyAlignment="1">
      <alignment horizontal="center" vertical="center"/>
    </xf>
    <xf numFmtId="14" fontId="9" fillId="5" borderId="10" xfId="0" applyNumberFormat="1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9" fillId="8" borderId="10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center" vertical="center"/>
    </xf>
    <xf numFmtId="2" fontId="1" fillId="6" borderId="33" xfId="0" applyNumberFormat="1" applyFont="1" applyFill="1" applyBorder="1" applyAlignment="1">
      <alignment horizontal="center" vertical="center"/>
    </xf>
    <xf numFmtId="2" fontId="1" fillId="11" borderId="7" xfId="0" applyNumberFormat="1" applyFont="1" applyFill="1" applyBorder="1" applyAlignment="1">
      <alignment horizontal="center" vertical="center"/>
    </xf>
    <xf numFmtId="2" fontId="1" fillId="10" borderId="7" xfId="0" applyNumberFormat="1" applyFont="1" applyFill="1" applyBorder="1" applyAlignment="1">
      <alignment horizontal="center" vertical="center"/>
    </xf>
    <xf numFmtId="2" fontId="1" fillId="6" borderId="66" xfId="0" applyNumberFormat="1" applyFont="1" applyFill="1" applyBorder="1" applyAlignment="1">
      <alignment horizontal="center" vertical="center"/>
    </xf>
    <xf numFmtId="14" fontId="9" fillId="8" borderId="2" xfId="0" applyNumberFormat="1" applyFont="1" applyFill="1" applyBorder="1" applyAlignment="1">
      <alignment horizontal="center" vertical="center"/>
    </xf>
    <xf numFmtId="14" fontId="0" fillId="5" borderId="17" xfId="0" applyNumberFormat="1" applyFill="1" applyBorder="1" applyAlignment="1">
      <alignment horizontal="center"/>
    </xf>
    <xf numFmtId="0" fontId="16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14" fontId="9" fillId="9" borderId="45" xfId="0" applyNumberFormat="1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14" fontId="9" fillId="6" borderId="3" xfId="0" applyNumberFormat="1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14" fontId="9" fillId="10" borderId="3" xfId="0" applyNumberFormat="1" applyFont="1" applyFill="1" applyBorder="1" applyAlignment="1">
      <alignment horizontal="center" vertical="center"/>
    </xf>
    <xf numFmtId="0" fontId="0" fillId="12" borderId="21" xfId="0" applyFill="1" applyBorder="1" applyAlignment="1">
      <alignment horizontal="center" vertical="center"/>
    </xf>
    <xf numFmtId="0" fontId="0" fillId="4" borderId="11" xfId="0" applyFill="1" applyBorder="1"/>
    <xf numFmtId="0" fontId="6" fillId="5" borderId="41" xfId="0" applyFont="1" applyFill="1" applyBorder="1" applyAlignment="1">
      <alignment horizontal="center" vertical="center"/>
    </xf>
    <xf numFmtId="0" fontId="6" fillId="5" borderId="42" xfId="0" applyFont="1" applyFill="1" applyBorder="1" applyAlignment="1">
      <alignment horizontal="center" vertical="center"/>
    </xf>
    <xf numFmtId="0" fontId="6" fillId="6" borderId="41" xfId="0" applyFont="1" applyFill="1" applyBorder="1" applyAlignment="1">
      <alignment horizontal="center" vertical="center"/>
    </xf>
    <xf numFmtId="0" fontId="6" fillId="6" borderId="42" xfId="0" applyFont="1" applyFill="1" applyBorder="1" applyAlignment="1">
      <alignment horizontal="center" vertical="center"/>
    </xf>
    <xf numFmtId="0" fontId="6" fillId="7" borderId="41" xfId="0" applyFont="1" applyFill="1" applyBorder="1" applyAlignment="1">
      <alignment horizontal="center" vertical="center"/>
    </xf>
    <xf numFmtId="0" fontId="6" fillId="7" borderId="42" xfId="0" applyFont="1" applyFill="1" applyBorder="1" applyAlignment="1">
      <alignment horizontal="center" vertical="center"/>
    </xf>
    <xf numFmtId="0" fontId="6" fillId="8" borderId="41" xfId="0" applyFont="1" applyFill="1" applyBorder="1" applyAlignment="1">
      <alignment horizontal="center" vertical="center"/>
    </xf>
    <xf numFmtId="0" fontId="6" fillId="8" borderId="42" xfId="0" applyFont="1" applyFill="1" applyBorder="1" applyAlignment="1">
      <alignment horizontal="center" vertical="center"/>
    </xf>
    <xf numFmtId="0" fontId="6" fillId="9" borderId="41" xfId="0" applyFont="1" applyFill="1" applyBorder="1" applyAlignment="1">
      <alignment horizontal="center" vertical="center"/>
    </xf>
    <xf numFmtId="0" fontId="6" fillId="9" borderId="42" xfId="0" applyFont="1" applyFill="1" applyBorder="1" applyAlignment="1">
      <alignment horizontal="center" vertical="center"/>
    </xf>
    <xf numFmtId="0" fontId="6" fillId="10" borderId="41" xfId="0" applyFont="1" applyFill="1" applyBorder="1" applyAlignment="1">
      <alignment horizontal="center" vertical="center"/>
    </xf>
    <xf numFmtId="0" fontId="6" fillId="10" borderId="42" xfId="0" applyFont="1" applyFill="1" applyBorder="1" applyAlignment="1">
      <alignment horizontal="center" vertical="center"/>
    </xf>
    <xf numFmtId="2" fontId="1" fillId="8" borderId="26" xfId="0" applyNumberFormat="1" applyFont="1" applyFill="1" applyBorder="1" applyAlignment="1">
      <alignment horizontal="center" vertical="center"/>
    </xf>
    <xf numFmtId="2" fontId="1" fillId="10" borderId="26" xfId="0" applyNumberFormat="1" applyFont="1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/>
    </xf>
    <xf numFmtId="0" fontId="9" fillId="8" borderId="46" xfId="0" applyFont="1" applyFill="1" applyBorder="1" applyAlignment="1">
      <alignment horizontal="center" vertical="center"/>
    </xf>
    <xf numFmtId="14" fontId="9" fillId="12" borderId="45" xfId="0" applyNumberFormat="1" applyFont="1" applyFill="1" applyBorder="1" applyAlignment="1">
      <alignment horizontal="center" vertical="center"/>
    </xf>
    <xf numFmtId="14" fontId="0" fillId="12" borderId="47" xfId="0" applyNumberFormat="1" applyFill="1" applyBorder="1" applyAlignment="1">
      <alignment horizontal="center" vertical="center"/>
    </xf>
    <xf numFmtId="0" fontId="6" fillId="9" borderId="56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4" borderId="21" xfId="0" applyFill="1" applyBorder="1"/>
    <xf numFmtId="14" fontId="0" fillId="5" borderId="3" xfId="0" applyNumberFormat="1" applyFill="1" applyBorder="1" applyAlignment="1">
      <alignment horizontal="center" vertical="center"/>
    </xf>
    <xf numFmtId="2" fontId="1" fillId="5" borderId="7" xfId="0" applyNumberFormat="1" applyFont="1" applyFill="1" applyBorder="1" applyAlignment="1">
      <alignment horizontal="center" vertical="center"/>
    </xf>
    <xf numFmtId="0" fontId="1" fillId="6" borderId="26" xfId="0" applyFont="1" applyFill="1" applyBorder="1" applyAlignment="1">
      <alignment horizontal="center" vertical="center"/>
    </xf>
    <xf numFmtId="0" fontId="12" fillId="0" borderId="0" xfId="1" applyAlignment="1">
      <alignment horizontal="center" vertical="center"/>
    </xf>
    <xf numFmtId="1" fontId="1" fillId="6" borderId="7" xfId="0" applyNumberFormat="1" applyFont="1" applyFill="1" applyBorder="1" applyAlignment="1">
      <alignment horizontal="center" vertical="center"/>
    </xf>
    <xf numFmtId="0" fontId="1" fillId="2" borderId="5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2" fontId="0" fillId="0" borderId="0" xfId="0" applyNumberFormat="1"/>
    <xf numFmtId="2" fontId="6" fillId="9" borderId="7" xfId="0" applyNumberFormat="1" applyFont="1" applyFill="1" applyBorder="1" applyAlignment="1">
      <alignment horizontal="center" vertical="center"/>
    </xf>
    <xf numFmtId="14" fontId="0" fillId="5" borderId="16" xfId="0" applyNumberFormat="1" applyFill="1" applyBorder="1" applyAlignment="1">
      <alignment horizontal="center"/>
    </xf>
    <xf numFmtId="165" fontId="1" fillId="5" borderId="33" xfId="0" applyNumberFormat="1" applyFont="1" applyFill="1" applyBorder="1" applyAlignment="1">
      <alignment horizontal="center"/>
    </xf>
    <xf numFmtId="165" fontId="1" fillId="6" borderId="33" xfId="0" applyNumberFormat="1" applyFont="1" applyFill="1" applyBorder="1" applyAlignment="1">
      <alignment horizontal="center" vertical="center"/>
    </xf>
    <xf numFmtId="165" fontId="1" fillId="7" borderId="37" xfId="0" applyNumberFormat="1" applyFont="1" applyFill="1" applyBorder="1" applyAlignment="1">
      <alignment horizontal="center" vertical="center"/>
    </xf>
    <xf numFmtId="165" fontId="1" fillId="8" borderId="60" xfId="0" applyNumberFormat="1" applyFont="1" applyFill="1" applyBorder="1" applyAlignment="1">
      <alignment horizontal="center" vertical="center"/>
    </xf>
    <xf numFmtId="14" fontId="0" fillId="8" borderId="61" xfId="0" applyNumberFormat="1" applyFill="1" applyBorder="1" applyAlignment="1">
      <alignment horizontal="center" vertical="center"/>
    </xf>
    <xf numFmtId="165" fontId="1" fillId="9" borderId="37" xfId="0" applyNumberFormat="1" applyFont="1" applyFill="1" applyBorder="1" applyAlignment="1">
      <alignment horizontal="center" vertical="center"/>
    </xf>
    <xf numFmtId="165" fontId="1" fillId="10" borderId="60" xfId="0" applyNumberFormat="1" applyFont="1" applyFill="1" applyBorder="1" applyAlignment="1">
      <alignment horizontal="center" vertical="center"/>
    </xf>
    <xf numFmtId="14" fontId="0" fillId="10" borderId="61" xfId="0" applyNumberFormat="1" applyFill="1" applyBorder="1" applyAlignment="1">
      <alignment horizontal="center" vertical="center"/>
    </xf>
    <xf numFmtId="165" fontId="1" fillId="11" borderId="37" xfId="0" applyNumberFormat="1" applyFont="1" applyFill="1" applyBorder="1" applyAlignment="1">
      <alignment horizontal="center" vertical="center"/>
    </xf>
    <xf numFmtId="14" fontId="0" fillId="5" borderId="34" xfId="0" applyNumberFormat="1" applyFill="1" applyBorder="1" applyAlignment="1">
      <alignment horizontal="center"/>
    </xf>
    <xf numFmtId="14" fontId="0" fillId="6" borderId="16" xfId="0" applyNumberFormat="1" applyFill="1" applyBorder="1" applyAlignment="1">
      <alignment horizontal="center" vertical="center"/>
    </xf>
    <xf numFmtId="2" fontId="1" fillId="7" borderId="33" xfId="0" applyNumberFormat="1" applyFont="1" applyFill="1" applyBorder="1" applyAlignment="1">
      <alignment horizontal="center" vertical="center"/>
    </xf>
    <xf numFmtId="2" fontId="1" fillId="8" borderId="67" xfId="0" applyNumberFormat="1" applyFont="1" applyFill="1" applyBorder="1" applyAlignment="1">
      <alignment horizontal="center" vertical="center"/>
    </xf>
    <xf numFmtId="14" fontId="0" fillId="8" borderId="16" xfId="0" applyNumberFormat="1" applyFill="1" applyBorder="1" applyAlignment="1">
      <alignment horizontal="center" vertical="center"/>
    </xf>
    <xf numFmtId="2" fontId="1" fillId="9" borderId="33" xfId="0" applyNumberFormat="1" applyFont="1" applyFill="1" applyBorder="1" applyAlignment="1">
      <alignment horizontal="center" vertical="center"/>
    </xf>
    <xf numFmtId="2" fontId="1" fillId="10" borderId="67" xfId="0" applyNumberFormat="1" applyFont="1" applyFill="1" applyBorder="1" applyAlignment="1">
      <alignment horizontal="center" vertical="center"/>
    </xf>
    <xf numFmtId="14" fontId="0" fillId="10" borderId="16" xfId="0" applyNumberFormat="1" applyFill="1" applyBorder="1" applyAlignment="1">
      <alignment horizontal="center" vertical="center"/>
    </xf>
    <xf numFmtId="2" fontId="1" fillId="11" borderId="33" xfId="0" applyNumberFormat="1" applyFont="1" applyFill="1" applyBorder="1" applyAlignment="1">
      <alignment horizontal="center" vertical="center"/>
    </xf>
    <xf numFmtId="2" fontId="1" fillId="8" borderId="62" xfId="0" applyNumberFormat="1" applyFont="1" applyFill="1" applyBorder="1" applyAlignment="1">
      <alignment horizontal="center" vertical="center"/>
    </xf>
    <xf numFmtId="2" fontId="1" fillId="10" borderId="62" xfId="0" applyNumberFormat="1" applyFont="1" applyFill="1" applyBorder="1" applyAlignment="1">
      <alignment horizontal="center" vertical="center"/>
    </xf>
    <xf numFmtId="14" fontId="0" fillId="6" borderId="47" xfId="0" applyNumberFormat="1" applyFill="1" applyBorder="1" applyAlignment="1">
      <alignment horizontal="center" vertical="center"/>
    </xf>
    <xf numFmtId="2" fontId="1" fillId="8" borderId="21" xfId="0" applyNumberFormat="1" applyFont="1" applyFill="1" applyBorder="1" applyAlignment="1">
      <alignment horizontal="center" vertical="center"/>
    </xf>
    <xf numFmtId="14" fontId="0" fillId="8" borderId="47" xfId="0" applyNumberFormat="1" applyFill="1" applyBorder="1" applyAlignment="1">
      <alignment horizontal="center" vertical="center"/>
    </xf>
    <xf numFmtId="2" fontId="1" fillId="10" borderId="21" xfId="0" applyNumberFormat="1" applyFont="1" applyFill="1" applyBorder="1" applyAlignment="1">
      <alignment horizontal="center" vertical="center"/>
    </xf>
    <xf numFmtId="14" fontId="0" fillId="10" borderId="47" xfId="0" applyNumberFormat="1" applyFill="1" applyBorder="1" applyAlignment="1">
      <alignment horizontal="center" vertical="center"/>
    </xf>
    <xf numFmtId="2" fontId="1" fillId="6" borderId="21" xfId="0" applyNumberFormat="1" applyFont="1" applyFill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6" fillId="6" borderId="62" xfId="0" applyFont="1" applyFill="1" applyBorder="1" applyAlignment="1">
      <alignment horizontal="center" vertical="center"/>
    </xf>
    <xf numFmtId="14" fontId="9" fillId="6" borderId="27" xfId="0" applyNumberFormat="1" applyFont="1" applyFill="1" applyBorder="1" applyAlignment="1">
      <alignment horizontal="center" vertical="center"/>
    </xf>
    <xf numFmtId="0" fontId="6" fillId="7" borderId="27" xfId="0" applyFont="1" applyFill="1" applyBorder="1" applyAlignment="1">
      <alignment horizontal="center" vertical="center"/>
    </xf>
    <xf numFmtId="14" fontId="9" fillId="7" borderId="27" xfId="0" applyNumberFormat="1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center" vertical="center"/>
    </xf>
    <xf numFmtId="14" fontId="9" fillId="8" borderId="27" xfId="0" applyNumberFormat="1" applyFont="1" applyFill="1" applyBorder="1" applyAlignment="1">
      <alignment horizontal="center" vertical="center"/>
    </xf>
    <xf numFmtId="0" fontId="6" fillId="9" borderId="27" xfId="0" applyFont="1" applyFill="1" applyBorder="1" applyAlignment="1">
      <alignment horizontal="center" vertical="center"/>
    </xf>
    <xf numFmtId="14" fontId="9" fillId="9" borderId="27" xfId="0" applyNumberFormat="1" applyFont="1" applyFill="1" applyBorder="1" applyAlignment="1">
      <alignment horizontal="center" vertical="center"/>
    </xf>
    <xf numFmtId="0" fontId="6" fillId="10" borderId="27" xfId="0" applyFont="1" applyFill="1" applyBorder="1" applyAlignment="1">
      <alignment horizontal="center" vertical="center"/>
    </xf>
    <xf numFmtId="14" fontId="9" fillId="10" borderId="27" xfId="0" applyNumberFormat="1" applyFont="1" applyFill="1" applyBorder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6" borderId="20" xfId="0" applyFont="1" applyFill="1" applyBorder="1" applyAlignment="1">
      <alignment horizontal="center" vertical="center"/>
    </xf>
    <xf numFmtId="14" fontId="9" fillId="9" borderId="2" xfId="0" applyNumberFormat="1" applyFont="1" applyFill="1" applyBorder="1" applyAlignment="1">
      <alignment horizontal="center" vertical="center"/>
    </xf>
    <xf numFmtId="14" fontId="9" fillId="10" borderId="2" xfId="0" applyNumberFormat="1" applyFont="1" applyFill="1" applyBorder="1" applyAlignment="1">
      <alignment horizontal="center" vertical="center"/>
    </xf>
    <xf numFmtId="14" fontId="9" fillId="11" borderId="2" xfId="0" applyNumberFormat="1" applyFont="1" applyFill="1" applyBorder="1" applyAlignment="1">
      <alignment horizontal="center" vertical="center"/>
    </xf>
    <xf numFmtId="14" fontId="9" fillId="11" borderId="59" xfId="0" applyNumberFormat="1" applyFont="1" applyFill="1" applyBorder="1" applyAlignment="1">
      <alignment horizontal="center" vertical="center"/>
    </xf>
    <xf numFmtId="14" fontId="9" fillId="11" borderId="46" xfId="0" applyNumberFormat="1" applyFont="1" applyFill="1" applyBorder="1" applyAlignment="1">
      <alignment horizontal="center" vertical="center"/>
    </xf>
    <xf numFmtId="0" fontId="0" fillId="0" borderId="61" xfId="0" applyBorder="1"/>
    <xf numFmtId="0" fontId="1" fillId="0" borderId="38" xfId="0" applyFont="1" applyBorder="1" applyAlignment="1">
      <alignment horizontal="center" vertical="center"/>
    </xf>
    <xf numFmtId="14" fontId="9" fillId="6" borderId="34" xfId="0" applyNumberFormat="1" applyFont="1" applyFill="1" applyBorder="1" applyAlignment="1">
      <alignment horizontal="center" vertical="center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14" fontId="0" fillId="0" borderId="1" xfId="0" applyNumberFormat="1" applyBorder="1" applyAlignment="1">
      <alignment horizontal="center" vertical="center"/>
    </xf>
    <xf numFmtId="14" fontId="9" fillId="6" borderId="22" xfId="0" applyNumberFormat="1" applyFont="1" applyFill="1" applyBorder="1" applyAlignment="1">
      <alignment horizontal="center" vertical="center"/>
    </xf>
    <xf numFmtId="14" fontId="9" fillId="7" borderId="22" xfId="0" applyNumberFormat="1" applyFont="1" applyFill="1" applyBorder="1" applyAlignment="1">
      <alignment horizontal="center" vertical="center"/>
    </xf>
    <xf numFmtId="14" fontId="9" fillId="8" borderId="22" xfId="0" applyNumberFormat="1" applyFont="1" applyFill="1" applyBorder="1" applyAlignment="1">
      <alignment horizontal="center" vertical="center"/>
    </xf>
    <xf numFmtId="14" fontId="9" fillId="9" borderId="22" xfId="0" applyNumberFormat="1" applyFont="1" applyFill="1" applyBorder="1" applyAlignment="1">
      <alignment horizontal="center" vertical="center"/>
    </xf>
    <xf numFmtId="14" fontId="9" fillId="10" borderId="22" xfId="0" applyNumberFormat="1" applyFont="1" applyFill="1" applyBorder="1" applyAlignment="1">
      <alignment horizontal="center" vertical="center"/>
    </xf>
    <xf numFmtId="14" fontId="9" fillId="11" borderId="22" xfId="0" applyNumberFormat="1" applyFont="1" applyFill="1" applyBorder="1" applyAlignment="1">
      <alignment horizontal="center" vertical="center"/>
    </xf>
    <xf numFmtId="165" fontId="6" fillId="9" borderId="2" xfId="0" applyNumberFormat="1" applyFont="1" applyFill="1" applyBorder="1" applyAlignment="1">
      <alignment horizontal="center" vertical="center"/>
    </xf>
    <xf numFmtId="2" fontId="1" fillId="8" borderId="9" xfId="0" applyNumberFormat="1" applyFont="1" applyFill="1" applyBorder="1" applyAlignment="1">
      <alignment horizontal="center" vertical="center"/>
    </xf>
    <xf numFmtId="0" fontId="1" fillId="11" borderId="20" xfId="0" applyFont="1" applyFill="1" applyBorder="1" applyAlignment="1">
      <alignment horizontal="center" vertical="center"/>
    </xf>
    <xf numFmtId="165" fontId="1" fillId="11" borderId="21" xfId="0" applyNumberFormat="1" applyFont="1" applyFill="1" applyBorder="1" applyAlignment="1">
      <alignment horizontal="center" vertical="center"/>
    </xf>
    <xf numFmtId="0" fontId="0" fillId="4" borderId="59" xfId="0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14" fontId="0" fillId="5" borderId="32" xfId="0" applyNumberFormat="1" applyFill="1" applyBorder="1" applyAlignment="1">
      <alignment horizontal="center"/>
    </xf>
    <xf numFmtId="1" fontId="1" fillId="7" borderId="7" xfId="0" applyNumberFormat="1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0" fillId="2" borderId="0" xfId="0" applyFill="1"/>
    <xf numFmtId="0" fontId="6" fillId="11" borderId="65" xfId="0" applyFont="1" applyFill="1" applyBorder="1" applyAlignment="1">
      <alignment horizontal="center" vertical="center"/>
    </xf>
    <xf numFmtId="166" fontId="6" fillId="5" borderId="31" xfId="0" applyNumberFormat="1" applyFont="1" applyFill="1" applyBorder="1" applyAlignment="1">
      <alignment horizontal="center" vertical="center"/>
    </xf>
    <xf numFmtId="49" fontId="6" fillId="7" borderId="31" xfId="0" applyNumberFormat="1" applyFont="1" applyFill="1" applyBorder="1" applyAlignment="1">
      <alignment horizontal="center" vertical="center"/>
    </xf>
    <xf numFmtId="165" fontId="6" fillId="10" borderId="31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166" fontId="1" fillId="8" borderId="26" xfId="0" applyNumberFormat="1" applyFont="1" applyFill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2" fontId="1" fillId="7" borderId="62" xfId="0" applyNumberFormat="1" applyFont="1" applyFill="1" applyBorder="1" applyAlignment="1">
      <alignment horizontal="center" vertical="center"/>
    </xf>
    <xf numFmtId="2" fontId="1" fillId="7" borderId="20" xfId="0" applyNumberFormat="1" applyFont="1" applyFill="1" applyBorder="1" applyAlignment="1">
      <alignment horizontal="center" vertical="center"/>
    </xf>
    <xf numFmtId="2" fontId="1" fillId="7" borderId="29" xfId="0" applyNumberFormat="1" applyFont="1" applyFill="1" applyBorder="1" applyAlignment="1">
      <alignment horizontal="center" vertical="center"/>
    </xf>
    <xf numFmtId="14" fontId="0" fillId="7" borderId="59" xfId="0" applyNumberFormat="1" applyFill="1" applyBorder="1" applyAlignment="1">
      <alignment horizontal="center" vertical="center"/>
    </xf>
    <xf numFmtId="14" fontId="0" fillId="7" borderId="46" xfId="0" applyNumberFormat="1" applyFill="1" applyBorder="1" applyAlignment="1">
      <alignment horizontal="center" vertical="center"/>
    </xf>
    <xf numFmtId="14" fontId="0" fillId="7" borderId="55" xfId="0" applyNumberFormat="1" applyFill="1" applyBorder="1" applyAlignment="1">
      <alignment horizontal="center" vertical="center"/>
    </xf>
    <xf numFmtId="2" fontId="1" fillId="9" borderId="62" xfId="0" applyNumberFormat="1" applyFont="1" applyFill="1" applyBorder="1" applyAlignment="1">
      <alignment horizontal="center" vertical="center"/>
    </xf>
    <xf numFmtId="2" fontId="1" fillId="9" borderId="20" xfId="0" applyNumberFormat="1" applyFont="1" applyFill="1" applyBorder="1" applyAlignment="1">
      <alignment horizontal="center" vertical="center"/>
    </xf>
    <xf numFmtId="165" fontId="1" fillId="9" borderId="29" xfId="0" applyNumberFormat="1" applyFont="1" applyFill="1" applyBorder="1" applyAlignment="1">
      <alignment horizontal="center" vertical="center"/>
    </xf>
    <xf numFmtId="166" fontId="1" fillId="8" borderId="7" xfId="0" applyNumberFormat="1" applyFont="1" applyFill="1" applyBorder="1" applyAlignment="1">
      <alignment horizontal="center" vertical="center"/>
    </xf>
    <xf numFmtId="14" fontId="0" fillId="9" borderId="59" xfId="0" applyNumberFormat="1" applyFill="1" applyBorder="1" applyAlignment="1">
      <alignment horizontal="center" vertical="center"/>
    </xf>
    <xf numFmtId="14" fontId="0" fillId="9" borderId="46" xfId="0" applyNumberFormat="1" applyFill="1" applyBorder="1" applyAlignment="1">
      <alignment horizontal="center" vertical="center"/>
    </xf>
    <xf numFmtId="14" fontId="0" fillId="9" borderId="55" xfId="0" applyNumberForma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2" fontId="1" fillId="5" borderId="12" xfId="0" applyNumberFormat="1" applyFont="1" applyFill="1" applyBorder="1" applyAlignment="1">
      <alignment horizontal="center" vertical="center"/>
    </xf>
    <xf numFmtId="166" fontId="1" fillId="5" borderId="7" xfId="0" applyNumberFormat="1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/>
    </xf>
    <xf numFmtId="0" fontId="6" fillId="12" borderId="2" xfId="0" applyFont="1" applyFill="1" applyBorder="1" applyAlignment="1">
      <alignment horizontal="center" vertical="center"/>
    </xf>
    <xf numFmtId="14" fontId="9" fillId="12" borderId="2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4" fontId="9" fillId="4" borderId="2" xfId="0" applyNumberFormat="1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14" fontId="9" fillId="7" borderId="3" xfId="0" applyNumberFormat="1" applyFont="1" applyFill="1" applyBorder="1" applyAlignment="1">
      <alignment horizontal="center" vertical="center"/>
    </xf>
    <xf numFmtId="14" fontId="9" fillId="8" borderId="3" xfId="0" applyNumberFormat="1" applyFont="1" applyFill="1" applyBorder="1" applyAlignment="1">
      <alignment horizontal="center" vertical="center"/>
    </xf>
    <xf numFmtId="0" fontId="6" fillId="9" borderId="3" xfId="0" applyFont="1" applyFill="1" applyBorder="1" applyAlignment="1">
      <alignment horizontal="center" vertical="center"/>
    </xf>
    <xf numFmtId="14" fontId="9" fillId="9" borderId="3" xfId="0" applyNumberFormat="1" applyFont="1" applyFill="1" applyBorder="1" applyAlignment="1">
      <alignment horizontal="center" vertical="center"/>
    </xf>
    <xf numFmtId="0" fontId="6" fillId="11" borderId="3" xfId="0" applyFont="1" applyFill="1" applyBorder="1" applyAlignment="1">
      <alignment horizontal="center" vertical="center"/>
    </xf>
    <xf numFmtId="14" fontId="9" fillId="11" borderId="3" xfId="0" applyNumberFormat="1" applyFont="1" applyFill="1" applyBorder="1" applyAlignment="1">
      <alignment horizontal="center" vertical="center"/>
    </xf>
    <xf numFmtId="0" fontId="6" fillId="5" borderId="48" xfId="0" applyFont="1" applyFill="1" applyBorder="1" applyAlignment="1">
      <alignment horizontal="center" vertical="center"/>
    </xf>
    <xf numFmtId="0" fontId="6" fillId="5" borderId="50" xfId="0" applyFont="1" applyFill="1" applyBorder="1" applyAlignment="1">
      <alignment horizontal="center" vertical="center"/>
    </xf>
    <xf numFmtId="167" fontId="0" fillId="0" borderId="0" xfId="0" applyNumberFormat="1"/>
    <xf numFmtId="14" fontId="0" fillId="5" borderId="52" xfId="0" applyNumberFormat="1" applyFill="1" applyBorder="1" applyAlignment="1">
      <alignment horizontal="center"/>
    </xf>
    <xf numFmtId="0" fontId="1" fillId="13" borderId="0" xfId="0" applyFont="1" applyFill="1"/>
    <xf numFmtId="2" fontId="1" fillId="0" borderId="58" xfId="0" applyNumberFormat="1" applyFont="1" applyBorder="1" applyAlignment="1">
      <alignment horizontal="center" vertical="center"/>
    </xf>
    <xf numFmtId="2" fontId="1" fillId="0" borderId="54" xfId="0" applyNumberFormat="1" applyFont="1" applyBorder="1" applyAlignment="1">
      <alignment horizontal="center" vertical="center"/>
    </xf>
    <xf numFmtId="2" fontId="1" fillId="0" borderId="36" xfId="0" applyNumberFormat="1" applyFont="1" applyBorder="1" applyAlignment="1">
      <alignment horizontal="center" vertical="center"/>
    </xf>
    <xf numFmtId="165" fontId="1" fillId="0" borderId="55" xfId="0" applyNumberFormat="1" applyFont="1" applyBorder="1" applyAlignment="1">
      <alignment horizontal="center"/>
    </xf>
    <xf numFmtId="14" fontId="0" fillId="5" borderId="22" xfId="0" applyNumberFormat="1" applyFill="1" applyBorder="1" applyAlignment="1">
      <alignment horizontal="center"/>
    </xf>
    <xf numFmtId="166" fontId="1" fillId="6" borderId="14" xfId="0" applyNumberFormat="1" applyFont="1" applyFill="1" applyBorder="1" applyAlignment="1">
      <alignment horizontal="center" vertical="center"/>
    </xf>
    <xf numFmtId="165" fontId="1" fillId="0" borderId="46" xfId="0" applyNumberFormat="1" applyFont="1" applyBorder="1" applyAlignment="1">
      <alignment horizontal="center"/>
    </xf>
    <xf numFmtId="2" fontId="1" fillId="0" borderId="41" xfId="0" applyNumberFormat="1" applyFont="1" applyBorder="1" applyAlignment="1">
      <alignment horizontal="center" vertical="center"/>
    </xf>
    <xf numFmtId="14" fontId="0" fillId="5" borderId="31" xfId="0" applyNumberFormat="1" applyFill="1" applyBorder="1" applyAlignment="1">
      <alignment horizontal="center"/>
    </xf>
    <xf numFmtId="14" fontId="0" fillId="5" borderId="10" xfId="0" applyNumberFormat="1" applyFill="1" applyBorder="1" applyAlignment="1">
      <alignment horizontal="center"/>
    </xf>
    <xf numFmtId="14" fontId="0" fillId="5" borderId="3" xfId="0" applyNumberFormat="1" applyFill="1" applyBorder="1" applyAlignment="1">
      <alignment horizontal="center"/>
    </xf>
    <xf numFmtId="14" fontId="0" fillId="5" borderId="27" xfId="0" applyNumberFormat="1" applyFill="1" applyBorder="1" applyAlignment="1">
      <alignment horizontal="center" vertical="center"/>
    </xf>
    <xf numFmtId="14" fontId="0" fillId="5" borderId="25" xfId="0" applyNumberFormat="1" applyFill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4" fontId="0" fillId="6" borderId="20" xfId="0" applyNumberFormat="1" applyFill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2" fontId="1" fillId="0" borderId="57" xfId="0" applyNumberFormat="1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1" fillId="9" borderId="56" xfId="0" applyFont="1" applyFill="1" applyBorder="1" applyAlignment="1">
      <alignment horizontal="center" vertical="center"/>
    </xf>
    <xf numFmtId="165" fontId="1" fillId="9" borderId="20" xfId="0" applyNumberFormat="1" applyFont="1" applyFill="1" applyBorder="1" applyAlignment="1">
      <alignment horizontal="center" vertical="center"/>
    </xf>
    <xf numFmtId="0" fontId="0" fillId="9" borderId="59" xfId="0" applyFill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14" fontId="9" fillId="5" borderId="59" xfId="0" applyNumberFormat="1" applyFont="1" applyFill="1" applyBorder="1" applyAlignment="1">
      <alignment horizontal="center" vertical="center"/>
    </xf>
    <xf numFmtId="14" fontId="9" fillId="5" borderId="8" xfId="0" applyNumberFormat="1" applyFont="1" applyFill="1" applyBorder="1" applyAlignment="1">
      <alignment horizontal="center" vertical="center"/>
    </xf>
    <xf numFmtId="0" fontId="0" fillId="3" borderId="55" xfId="0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166" fontId="6" fillId="5" borderId="18" xfId="0" applyNumberFormat="1" applyFont="1" applyFill="1" applyBorder="1" applyAlignment="1">
      <alignment horizontal="center" vertical="center"/>
    </xf>
    <xf numFmtId="166" fontId="6" fillId="5" borderId="20" xfId="0" applyNumberFormat="1" applyFont="1" applyFill="1" applyBorder="1" applyAlignment="1">
      <alignment horizontal="center" vertical="center"/>
    </xf>
    <xf numFmtId="166" fontId="6" fillId="5" borderId="29" xfId="0" applyNumberFormat="1" applyFont="1" applyFill="1" applyBorder="1" applyAlignment="1">
      <alignment horizontal="center" vertical="center"/>
    </xf>
    <xf numFmtId="165" fontId="1" fillId="0" borderId="54" xfId="0" applyNumberFormat="1" applyFont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2" fontId="1" fillId="5" borderId="20" xfId="0" applyNumberFormat="1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6" fillId="2" borderId="4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1" fillId="11" borderId="23" xfId="0" applyNumberFormat="1" applyFont="1" applyFill="1" applyBorder="1" applyAlignment="1">
      <alignment horizontal="center" vertical="center"/>
    </xf>
    <xf numFmtId="2" fontId="1" fillId="5" borderId="18" xfId="0" applyNumberFormat="1" applyFont="1" applyFill="1" applyBorder="1" applyAlignment="1">
      <alignment horizontal="center"/>
    </xf>
    <xf numFmtId="0" fontId="1" fillId="5" borderId="20" xfId="0" applyFont="1" applyFill="1" applyBorder="1" applyAlignment="1">
      <alignment horizontal="center"/>
    </xf>
    <xf numFmtId="2" fontId="1" fillId="5" borderId="20" xfId="0" applyNumberFormat="1" applyFont="1" applyFill="1" applyBorder="1" applyAlignment="1">
      <alignment horizontal="center"/>
    </xf>
    <xf numFmtId="165" fontId="1" fillId="0" borderId="58" xfId="0" applyNumberFormat="1" applyFont="1" applyBorder="1" applyAlignment="1">
      <alignment horizontal="center"/>
    </xf>
    <xf numFmtId="165" fontId="1" fillId="0" borderId="68" xfId="0" applyNumberFormat="1" applyFont="1" applyBorder="1" applyAlignment="1">
      <alignment horizontal="center"/>
    </xf>
    <xf numFmtId="165" fontId="1" fillId="0" borderId="42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56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0" borderId="70" xfId="0" applyBorder="1" applyAlignment="1">
      <alignment horizontal="center"/>
    </xf>
    <xf numFmtId="0" fontId="1" fillId="5" borderId="67" xfId="0" applyFont="1" applyFill="1" applyBorder="1" applyAlignment="1">
      <alignment horizontal="center" vertical="center"/>
    </xf>
    <xf numFmtId="0" fontId="1" fillId="0" borderId="71" xfId="0" applyFont="1" applyBorder="1" applyAlignment="1">
      <alignment horizontal="center" vertical="center"/>
    </xf>
    <xf numFmtId="165" fontId="1" fillId="0" borderId="36" xfId="0" applyNumberFormat="1" applyFont="1" applyBorder="1" applyAlignment="1">
      <alignment horizontal="center" vertical="center"/>
    </xf>
    <xf numFmtId="0" fontId="1" fillId="2" borderId="65" xfId="0" applyFont="1" applyFill="1" applyBorder="1" applyAlignment="1">
      <alignment horizontal="center" vertical="center"/>
    </xf>
    <xf numFmtId="165" fontId="1" fillId="5" borderId="20" xfId="0" applyNumberFormat="1" applyFont="1" applyFill="1" applyBorder="1" applyAlignment="1">
      <alignment horizontal="center"/>
    </xf>
    <xf numFmtId="168" fontId="1" fillId="5" borderId="21" xfId="0" applyNumberFormat="1" applyFont="1" applyFill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64" xfId="0" applyBorder="1" applyAlignment="1">
      <alignment horizontal="center"/>
    </xf>
    <xf numFmtId="0" fontId="0" fillId="0" borderId="51" xfId="0" applyBorder="1" applyAlignment="1">
      <alignment horizontal="center"/>
    </xf>
    <xf numFmtId="0" fontId="1" fillId="0" borderId="73" xfId="0" applyFont="1" applyBorder="1" applyAlignment="1">
      <alignment horizontal="center" vertical="center"/>
    </xf>
    <xf numFmtId="0" fontId="7" fillId="0" borderId="66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0" fillId="0" borderId="5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2" fontId="1" fillId="0" borderId="68" xfId="0" applyNumberFormat="1" applyFont="1" applyBorder="1" applyAlignment="1">
      <alignment horizontal="center" vertical="center"/>
    </xf>
    <xf numFmtId="2" fontId="1" fillId="0" borderId="42" xfId="0" applyNumberFormat="1" applyFont="1" applyBorder="1" applyAlignment="1">
      <alignment horizontal="center" vertical="center"/>
    </xf>
    <xf numFmtId="165" fontId="1" fillId="5" borderId="7" xfId="0" applyNumberFormat="1" applyFont="1" applyFill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/>
    </xf>
    <xf numFmtId="165" fontId="1" fillId="5" borderId="56" xfId="0" applyNumberFormat="1" applyFont="1" applyFill="1" applyBorder="1" applyAlignment="1">
      <alignment horizontal="center"/>
    </xf>
    <xf numFmtId="165" fontId="1" fillId="5" borderId="21" xfId="0" applyNumberFormat="1" applyFont="1" applyFill="1" applyBorder="1" applyAlignment="1">
      <alignment horizontal="center"/>
    </xf>
    <xf numFmtId="165" fontId="1" fillId="0" borderId="36" xfId="0" applyNumberFormat="1" applyFont="1" applyBorder="1" applyAlignment="1">
      <alignment horizontal="center"/>
    </xf>
    <xf numFmtId="2" fontId="1" fillId="0" borderId="54" xfId="0" applyNumberFormat="1" applyFont="1" applyBorder="1" applyAlignment="1">
      <alignment horizontal="center"/>
    </xf>
    <xf numFmtId="165" fontId="1" fillId="0" borderId="55" xfId="0" applyNumberFormat="1" applyFont="1" applyBorder="1" applyAlignment="1">
      <alignment horizontal="center" vertical="center"/>
    </xf>
    <xf numFmtId="165" fontId="1" fillId="0" borderId="45" xfId="0" applyNumberFormat="1" applyFont="1" applyBorder="1" applyAlignment="1">
      <alignment horizontal="center" vertical="center"/>
    </xf>
    <xf numFmtId="165" fontId="1" fillId="0" borderId="16" xfId="0" applyNumberFormat="1" applyFont="1" applyBorder="1" applyAlignment="1">
      <alignment horizontal="center" vertical="center"/>
    </xf>
    <xf numFmtId="0" fontId="1" fillId="5" borderId="62" xfId="0" applyFont="1" applyFill="1" applyBorder="1" applyAlignment="1">
      <alignment horizontal="center" vertical="center"/>
    </xf>
    <xf numFmtId="2" fontId="1" fillId="5" borderId="21" xfId="0" applyNumberFormat="1" applyFont="1" applyFill="1" applyBorder="1" applyAlignment="1">
      <alignment horizontal="center" vertical="center"/>
    </xf>
    <xf numFmtId="165" fontId="1" fillId="0" borderId="58" xfId="0" applyNumberFormat="1" applyFont="1" applyBorder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165" fontId="1" fillId="0" borderId="68" xfId="0" applyNumberFormat="1" applyFont="1" applyBorder="1" applyAlignment="1">
      <alignment horizontal="center" vertical="center"/>
    </xf>
    <xf numFmtId="165" fontId="1" fillId="0" borderId="65" xfId="0" applyNumberFormat="1" applyFont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" fillId="5" borderId="63" xfId="0" applyFont="1" applyFill="1" applyBorder="1" applyAlignment="1">
      <alignment horizontal="center" vertical="center"/>
    </xf>
    <xf numFmtId="2" fontId="1" fillId="5" borderId="64" xfId="0" applyNumberFormat="1" applyFont="1" applyFill="1" applyBorder="1" applyAlignment="1">
      <alignment horizontal="center" vertical="center"/>
    </xf>
    <xf numFmtId="2" fontId="1" fillId="5" borderId="51" xfId="0" applyNumberFormat="1" applyFont="1" applyFill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0" fillId="0" borderId="52" xfId="0" applyBorder="1" applyAlignment="1">
      <alignment horizontal="center"/>
    </xf>
    <xf numFmtId="0" fontId="0" fillId="0" borderId="47" xfId="0" applyBorder="1" applyAlignment="1">
      <alignment horizontal="center"/>
    </xf>
    <xf numFmtId="2" fontId="1" fillId="5" borderId="29" xfId="0" applyNumberFormat="1" applyFont="1" applyFill="1" applyBorder="1" applyAlignment="1">
      <alignment horizontal="center"/>
    </xf>
    <xf numFmtId="165" fontId="1" fillId="5" borderId="15" xfId="0" applyNumberFormat="1" applyFont="1" applyFill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165" fontId="1" fillId="11" borderId="26" xfId="0" applyNumberFormat="1" applyFont="1" applyFill="1" applyBorder="1" applyAlignment="1">
      <alignment horizontal="center" vertical="center"/>
    </xf>
    <xf numFmtId="165" fontId="1" fillId="5" borderId="67" xfId="0" applyNumberFormat="1" applyFont="1" applyFill="1" applyBorder="1" applyAlignment="1">
      <alignment horizontal="center" vertical="center"/>
    </xf>
    <xf numFmtId="165" fontId="1" fillId="5" borderId="21" xfId="0" applyNumberFormat="1" applyFont="1" applyFill="1" applyBorder="1" applyAlignment="1">
      <alignment horizontal="center" vertical="center"/>
    </xf>
    <xf numFmtId="0" fontId="1" fillId="5" borderId="62" xfId="0" applyFont="1" applyFill="1" applyBorder="1" applyAlignment="1">
      <alignment horizontal="center"/>
    </xf>
    <xf numFmtId="0" fontId="1" fillId="5" borderId="60" xfId="0" applyFont="1" applyFill="1" applyBorder="1" applyAlignment="1">
      <alignment horizontal="center" vertical="center"/>
    </xf>
    <xf numFmtId="165" fontId="1" fillId="5" borderId="20" xfId="0" applyNumberFormat="1" applyFont="1" applyFill="1" applyBorder="1" applyAlignment="1">
      <alignment horizontal="center" vertical="center"/>
    </xf>
    <xf numFmtId="165" fontId="1" fillId="3" borderId="46" xfId="0" applyNumberFormat="1" applyFont="1" applyFill="1" applyBorder="1" applyAlignment="1">
      <alignment horizontal="center" vertical="center"/>
    </xf>
    <xf numFmtId="2" fontId="1" fillId="3" borderId="58" xfId="0" applyNumberFormat="1" applyFont="1" applyFill="1" applyBorder="1" applyAlignment="1">
      <alignment horizontal="center" vertical="center"/>
    </xf>
    <xf numFmtId="2" fontId="1" fillId="3" borderId="68" xfId="0" applyNumberFormat="1" applyFont="1" applyFill="1" applyBorder="1" applyAlignment="1">
      <alignment horizontal="center" vertical="center"/>
    </xf>
    <xf numFmtId="2" fontId="1" fillId="3" borderId="42" xfId="0" applyNumberFormat="1" applyFont="1" applyFill="1" applyBorder="1" applyAlignment="1">
      <alignment horizontal="center" vertical="center"/>
    </xf>
    <xf numFmtId="2" fontId="1" fillId="0" borderId="55" xfId="0" applyNumberFormat="1" applyFon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/>
    </xf>
    <xf numFmtId="14" fontId="0" fillId="0" borderId="22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1" fillId="0" borderId="72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/>
    </xf>
    <xf numFmtId="2" fontId="1" fillId="5" borderId="62" xfId="0" applyNumberFormat="1" applyFon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6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0" fillId="0" borderId="4" xfId="0" applyBorder="1"/>
    <xf numFmtId="0" fontId="0" fillId="0" borderId="6" xfId="0" applyBorder="1"/>
    <xf numFmtId="0" fontId="1" fillId="0" borderId="28" xfId="0" applyFont="1" applyBorder="1" applyAlignment="1">
      <alignment horizontal="center"/>
    </xf>
    <xf numFmtId="0" fontId="1" fillId="0" borderId="11" xfId="0" applyFont="1" applyBorder="1" applyAlignment="1">
      <alignment horizontal="center" vertical="center"/>
    </xf>
    <xf numFmtId="168" fontId="0" fillId="0" borderId="0" xfId="0" applyNumberFormat="1"/>
    <xf numFmtId="16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2" fontId="1" fillId="3" borderId="54" xfId="0" applyNumberFormat="1" applyFont="1" applyFill="1" applyBorder="1" applyAlignment="1">
      <alignment horizontal="center" vertical="center"/>
    </xf>
    <xf numFmtId="2" fontId="1" fillId="3" borderId="46" xfId="0" applyNumberFormat="1" applyFont="1" applyFill="1" applyBorder="1" applyAlignment="1">
      <alignment horizontal="center" vertical="center"/>
    </xf>
    <xf numFmtId="14" fontId="0" fillId="7" borderId="16" xfId="0" applyNumberFormat="1" applyFill="1" applyBorder="1" applyAlignment="1">
      <alignment horizontal="center" vertical="center"/>
    </xf>
    <xf numFmtId="0" fontId="1" fillId="9" borderId="67" xfId="0" applyFont="1" applyFill="1" applyBorder="1" applyAlignment="1">
      <alignment horizontal="center" vertical="center"/>
    </xf>
    <xf numFmtId="0" fontId="1" fillId="9" borderId="20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165" fontId="0" fillId="0" borderId="59" xfId="0" applyNumberFormat="1" applyBorder="1" applyAlignment="1">
      <alignment horizontal="center" vertical="center"/>
    </xf>
    <xf numFmtId="165" fontId="0" fillId="0" borderId="46" xfId="0" applyNumberFormat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165" fontId="0" fillId="0" borderId="55" xfId="0" applyNumberFormat="1" applyBorder="1" applyAlignment="1">
      <alignment horizontal="center" vertical="center"/>
    </xf>
    <xf numFmtId="2" fontId="6" fillId="11" borderId="7" xfId="0" applyNumberFormat="1" applyFont="1" applyFill="1" applyBorder="1" applyAlignment="1">
      <alignment horizontal="center" vertical="center"/>
    </xf>
    <xf numFmtId="14" fontId="9" fillId="9" borderId="17" xfId="0" applyNumberFormat="1" applyFont="1" applyFill="1" applyBorder="1" applyAlignment="1">
      <alignment horizontal="center" vertical="center"/>
    </xf>
    <xf numFmtId="2" fontId="6" fillId="9" borderId="26" xfId="0" applyNumberFormat="1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2" fontId="6" fillId="5" borderId="20" xfId="0" applyNumberFormat="1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2" fontId="6" fillId="8" borderId="7" xfId="0" applyNumberFormat="1" applyFont="1" applyFill="1" applyBorder="1" applyAlignment="1">
      <alignment horizontal="center" vertical="center"/>
    </xf>
    <xf numFmtId="2" fontId="6" fillId="10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2" fontId="1" fillId="9" borderId="29" xfId="0" applyNumberFormat="1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/>
    </xf>
    <xf numFmtId="14" fontId="0" fillId="9" borderId="47" xfId="0" applyNumberFormat="1" applyFill="1" applyBorder="1" applyAlignment="1">
      <alignment horizontal="center" vertical="center"/>
    </xf>
    <xf numFmtId="2" fontId="1" fillId="7" borderId="18" xfId="0" applyNumberFormat="1" applyFont="1" applyFill="1" applyBorder="1" applyAlignment="1">
      <alignment horizontal="center" vertical="center"/>
    </xf>
    <xf numFmtId="2" fontId="1" fillId="9" borderId="18" xfId="0" applyNumberFormat="1" applyFont="1" applyFill="1" applyBorder="1" applyAlignment="1">
      <alignment horizontal="center" vertical="center"/>
    </xf>
    <xf numFmtId="0" fontId="6" fillId="11" borderId="30" xfId="0" applyFont="1" applyFill="1" applyBorder="1" applyAlignment="1">
      <alignment horizontal="center" vertical="center"/>
    </xf>
    <xf numFmtId="0" fontId="6" fillId="11" borderId="32" xfId="0" applyFont="1" applyFill="1" applyBorder="1" applyAlignment="1">
      <alignment horizontal="center" vertical="center"/>
    </xf>
    <xf numFmtId="0" fontId="6" fillId="9" borderId="52" xfId="0" applyFont="1" applyFill="1" applyBorder="1" applyAlignment="1">
      <alignment horizontal="center" vertical="center"/>
    </xf>
    <xf numFmtId="14" fontId="0" fillId="9" borderId="61" xfId="0" applyNumberForma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6" fillId="10" borderId="32" xfId="0" applyFont="1" applyFill="1" applyBorder="1" applyAlignment="1">
      <alignment horizontal="center" vertical="center"/>
    </xf>
    <xf numFmtId="0" fontId="6" fillId="7" borderId="52" xfId="0" applyFont="1" applyFill="1" applyBorder="1" applyAlignment="1">
      <alignment horizontal="center" vertical="center"/>
    </xf>
    <xf numFmtId="14" fontId="0" fillId="7" borderId="61" xfId="0" applyNumberFormat="1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6" fillId="9" borderId="18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6" fillId="8" borderId="32" xfId="0" applyFont="1" applyFill="1" applyBorder="1" applyAlignment="1">
      <alignment horizontal="center" vertical="center"/>
    </xf>
    <xf numFmtId="0" fontId="0" fillId="5" borderId="55" xfId="0" applyFill="1" applyBorder="1" applyAlignment="1">
      <alignment horizontal="center"/>
    </xf>
    <xf numFmtId="0" fontId="6" fillId="7" borderId="18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/>
    </xf>
    <xf numFmtId="0" fontId="1" fillId="7" borderId="29" xfId="0" applyFont="1" applyFill="1" applyBorder="1" applyAlignment="1">
      <alignment horizontal="center" vertical="center"/>
    </xf>
    <xf numFmtId="0" fontId="6" fillId="6" borderId="32" xfId="0" applyFont="1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0" borderId="27" xfId="0" applyBorder="1" applyAlignment="1">
      <alignment horizontal="center"/>
    </xf>
    <xf numFmtId="165" fontId="1" fillId="3" borderId="28" xfId="0" applyNumberFormat="1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/>
    </xf>
    <xf numFmtId="165" fontId="1" fillId="3" borderId="8" xfId="0" applyNumberFormat="1" applyFont="1" applyFill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6" fillId="10" borderId="48" xfId="0" applyFont="1" applyFill="1" applyBorder="1" applyAlignment="1">
      <alignment horizontal="center" vertical="center"/>
    </xf>
    <xf numFmtId="0" fontId="6" fillId="10" borderId="50" xfId="0" applyFont="1" applyFill="1" applyBorder="1" applyAlignment="1">
      <alignment horizontal="center" vertical="center"/>
    </xf>
    <xf numFmtId="0" fontId="6" fillId="9" borderId="48" xfId="0" applyFont="1" applyFill="1" applyBorder="1" applyAlignment="1">
      <alignment horizontal="center" vertical="center"/>
    </xf>
    <xf numFmtId="0" fontId="6" fillId="9" borderId="50" xfId="0" applyFont="1" applyFill="1" applyBorder="1" applyAlignment="1">
      <alignment horizontal="center" vertical="center"/>
    </xf>
    <xf numFmtId="0" fontId="6" fillId="8" borderId="48" xfId="0" applyFont="1" applyFill="1" applyBorder="1" applyAlignment="1">
      <alignment horizontal="center" vertical="center"/>
    </xf>
    <xf numFmtId="0" fontId="6" fillId="8" borderId="50" xfId="0" applyFont="1" applyFill="1" applyBorder="1" applyAlignment="1">
      <alignment horizontal="center" vertical="center"/>
    </xf>
    <xf numFmtId="0" fontId="6" fillId="11" borderId="48" xfId="0" applyFont="1" applyFill="1" applyBorder="1" applyAlignment="1">
      <alignment horizontal="center" vertical="center"/>
    </xf>
    <xf numFmtId="0" fontId="6" fillId="11" borderId="50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6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6" fillId="5" borderId="48" xfId="0" applyFont="1" applyFill="1" applyBorder="1" applyAlignment="1">
      <alignment horizontal="center" vertical="center"/>
    </xf>
    <xf numFmtId="0" fontId="6" fillId="5" borderId="50" xfId="0" applyFont="1" applyFill="1" applyBorder="1" applyAlignment="1">
      <alignment horizontal="center" vertical="center"/>
    </xf>
    <xf numFmtId="0" fontId="6" fillId="6" borderId="40" xfId="0" applyFont="1" applyFill="1" applyBorder="1" applyAlignment="1">
      <alignment horizontal="center" vertical="center"/>
    </xf>
    <xf numFmtId="0" fontId="6" fillId="6" borderId="51" xfId="0" applyFont="1" applyFill="1" applyBorder="1" applyAlignment="1">
      <alignment horizontal="center" vertical="center"/>
    </xf>
    <xf numFmtId="0" fontId="6" fillId="7" borderId="48" xfId="0" applyFont="1" applyFill="1" applyBorder="1" applyAlignment="1">
      <alignment horizontal="center" vertical="center"/>
    </xf>
    <xf numFmtId="0" fontId="6" fillId="7" borderId="50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0" fontId="6" fillId="5" borderId="51" xfId="0" applyFont="1" applyFill="1" applyBorder="1" applyAlignment="1">
      <alignment horizontal="center" vertical="center"/>
    </xf>
    <xf numFmtId="0" fontId="6" fillId="6" borderId="48" xfId="0" applyFont="1" applyFill="1" applyBorder="1" applyAlignment="1">
      <alignment horizontal="center" vertical="center"/>
    </xf>
    <xf numFmtId="0" fontId="6" fillId="6" borderId="50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1" fillId="2" borderId="39" xfId="0" applyFont="1" applyFill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1" fillId="0" borderId="17" xfId="0" applyNumberFormat="1" applyFont="1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5" fontId="1" fillId="0" borderId="22" xfId="0" applyNumberFormat="1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6" fillId="10" borderId="40" xfId="0" applyFont="1" applyFill="1" applyBorder="1" applyAlignment="1">
      <alignment horizontal="center" vertical="center"/>
    </xf>
    <xf numFmtId="0" fontId="6" fillId="10" borderId="51" xfId="0" applyFont="1" applyFill="1" applyBorder="1" applyAlignment="1">
      <alignment horizontal="center" vertical="center"/>
    </xf>
    <xf numFmtId="0" fontId="1" fillId="12" borderId="44" xfId="0" applyFont="1" applyFill="1" applyBorder="1" applyAlignment="1">
      <alignment horizontal="center"/>
    </xf>
    <xf numFmtId="0" fontId="1" fillId="12" borderId="51" xfId="0" applyFont="1" applyFill="1" applyBorder="1" applyAlignment="1">
      <alignment horizontal="center"/>
    </xf>
    <xf numFmtId="0" fontId="1" fillId="12" borderId="50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2" borderId="5" xfId="0" applyFont="1" applyFill="1" applyBorder="1" applyAlignment="1">
      <alignment horizontal="center"/>
    </xf>
    <xf numFmtId="0" fontId="1" fillId="12" borderId="6" xfId="0" applyFont="1" applyFill="1" applyBorder="1" applyAlignment="1">
      <alignment horizontal="center"/>
    </xf>
    <xf numFmtId="0" fontId="1" fillId="12" borderId="43" xfId="0" applyFont="1" applyFill="1" applyBorder="1" applyAlignment="1">
      <alignment horizontal="center"/>
    </xf>
    <xf numFmtId="0" fontId="1" fillId="12" borderId="40" xfId="0" applyFont="1" applyFill="1" applyBorder="1" applyAlignment="1">
      <alignment horizontal="center"/>
    </xf>
    <xf numFmtId="0" fontId="1" fillId="12" borderId="4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0" fontId="6" fillId="6" borderId="41" xfId="0" applyFont="1" applyFill="1" applyBorder="1" applyAlignment="1">
      <alignment horizontal="center" vertical="center"/>
    </xf>
    <xf numFmtId="0" fontId="6" fillId="6" borderId="42" xfId="0" applyFont="1" applyFill="1" applyBorder="1" applyAlignment="1">
      <alignment horizontal="center" vertical="center"/>
    </xf>
    <xf numFmtId="0" fontId="6" fillId="7" borderId="41" xfId="0" applyFont="1" applyFill="1" applyBorder="1" applyAlignment="1">
      <alignment horizontal="center" vertical="center"/>
    </xf>
    <xf numFmtId="0" fontId="6" fillId="7" borderId="42" xfId="0" applyFont="1" applyFill="1" applyBorder="1" applyAlignment="1">
      <alignment horizontal="center" vertical="center"/>
    </xf>
    <xf numFmtId="0" fontId="6" fillId="8" borderId="41" xfId="0" applyFont="1" applyFill="1" applyBorder="1" applyAlignment="1">
      <alignment horizontal="center" vertical="center"/>
    </xf>
    <xf numFmtId="0" fontId="6" fillId="8" borderId="42" xfId="0" applyFont="1" applyFill="1" applyBorder="1" applyAlignment="1">
      <alignment horizontal="center" vertical="center"/>
    </xf>
    <xf numFmtId="0" fontId="6" fillId="9" borderId="41" xfId="0" applyFont="1" applyFill="1" applyBorder="1" applyAlignment="1">
      <alignment horizontal="center" vertical="center"/>
    </xf>
    <xf numFmtId="0" fontId="6" fillId="9" borderId="42" xfId="0" applyFont="1" applyFill="1" applyBorder="1" applyAlignment="1">
      <alignment horizontal="center" vertical="center"/>
    </xf>
    <xf numFmtId="0" fontId="6" fillId="10" borderId="41" xfId="0" applyFont="1" applyFill="1" applyBorder="1" applyAlignment="1">
      <alignment horizontal="center" vertical="center"/>
    </xf>
    <xf numFmtId="0" fontId="6" fillId="10" borderId="42" xfId="0" applyFont="1" applyFill="1" applyBorder="1" applyAlignment="1">
      <alignment horizontal="center" vertical="center"/>
    </xf>
    <xf numFmtId="0" fontId="6" fillId="11" borderId="41" xfId="0" applyFont="1" applyFill="1" applyBorder="1" applyAlignment="1">
      <alignment horizontal="center" vertical="center"/>
    </xf>
    <xf numFmtId="0" fontId="6" fillId="11" borderId="42" xfId="0" applyFont="1" applyFill="1" applyBorder="1" applyAlignment="1">
      <alignment horizontal="center" vertical="center"/>
    </xf>
    <xf numFmtId="0" fontId="6" fillId="5" borderId="41" xfId="0" applyFont="1" applyFill="1" applyBorder="1" applyAlignment="1">
      <alignment horizontal="center" vertical="center"/>
    </xf>
    <xf numFmtId="0" fontId="6" fillId="5" borderId="42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0" fillId="0" borderId="0" xfId="0"/>
    <xf numFmtId="0" fontId="6" fillId="7" borderId="53" xfId="0" applyFont="1" applyFill="1" applyBorder="1" applyAlignment="1">
      <alignment horizontal="center" vertical="center"/>
    </xf>
    <xf numFmtId="0" fontId="6" fillId="8" borderId="53" xfId="0" applyFont="1" applyFill="1" applyBorder="1" applyAlignment="1">
      <alignment horizontal="center" vertical="center"/>
    </xf>
    <xf numFmtId="0" fontId="6" fillId="9" borderId="53" xfId="0" applyFont="1" applyFill="1" applyBorder="1" applyAlignment="1">
      <alignment horizontal="center" vertical="center"/>
    </xf>
    <xf numFmtId="0" fontId="6" fillId="10" borderId="53" xfId="0" applyFont="1" applyFill="1" applyBorder="1" applyAlignment="1">
      <alignment horizontal="center" vertical="center"/>
    </xf>
    <xf numFmtId="0" fontId="7" fillId="2" borderId="43" xfId="0" applyFont="1" applyFill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6" fillId="11" borderId="53" xfId="0" applyFont="1" applyFill="1" applyBorder="1" applyAlignment="1">
      <alignment horizontal="center" vertical="center"/>
    </xf>
    <xf numFmtId="0" fontId="6" fillId="5" borderId="53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499419</xdr:colOff>
      <xdr:row>59</xdr:row>
      <xdr:rowOff>30892</xdr:rowOff>
    </xdr:from>
    <xdr:to>
      <xdr:col>93</xdr:col>
      <xdr:colOff>522588</xdr:colOff>
      <xdr:row>59</xdr:row>
      <xdr:rowOff>33466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70FEF3A3-EE3C-3903-FF74-770AFFFD9845}"/>
            </a:ext>
          </a:extLst>
        </xdr:cNvPr>
        <xdr:cNvCxnSpPr/>
      </xdr:nvCxnSpPr>
      <xdr:spPr>
        <a:xfrm>
          <a:off x="66682723" y="10644831"/>
          <a:ext cx="23169" cy="257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file:///C:\Users\Bogdan\AppData\Roaming\Microsoft\Excel\vatset.no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9E19F-2607-433F-97F2-906CC477DE1E}">
  <sheetPr codeName="Sheet19"/>
  <dimension ref="B1:E25"/>
  <sheetViews>
    <sheetView workbookViewId="0">
      <selection activeCell="C7" sqref="C7"/>
    </sheetView>
  </sheetViews>
  <sheetFormatPr defaultRowHeight="15" x14ac:dyDescent="0.25"/>
  <cols>
    <col min="1" max="1" width="14.28515625" customWidth="1"/>
    <col min="2" max="2" width="4.7109375" customWidth="1"/>
    <col min="3" max="3" width="51.42578125" customWidth="1"/>
    <col min="5" max="5" width="18.85546875" customWidth="1"/>
  </cols>
  <sheetData>
    <row r="1" spans="2:5" ht="15.75" thickBot="1" x14ac:dyDescent="0.3"/>
    <row r="2" spans="2:5" ht="19.5" thickBot="1" x14ac:dyDescent="0.35">
      <c r="B2" s="925" t="s">
        <v>221</v>
      </c>
      <c r="C2" s="926"/>
      <c r="D2" s="444"/>
      <c r="E2" s="444"/>
    </row>
    <row r="3" spans="2:5" ht="15.75" x14ac:dyDescent="0.25">
      <c r="B3" s="442"/>
      <c r="C3" s="442"/>
      <c r="D3" s="442"/>
      <c r="E3" s="442"/>
    </row>
    <row r="4" spans="2:5" ht="15.75" x14ac:dyDescent="0.25">
      <c r="B4" s="13" t="s">
        <v>200</v>
      </c>
      <c r="C4" s="445" t="s">
        <v>228</v>
      </c>
      <c r="D4" s="443"/>
    </row>
    <row r="5" spans="2:5" ht="15.75" x14ac:dyDescent="0.25">
      <c r="B5" s="13" t="s">
        <v>201</v>
      </c>
      <c r="C5" s="445" t="s">
        <v>229</v>
      </c>
      <c r="D5" s="443"/>
    </row>
    <row r="6" spans="2:5" ht="15.75" x14ac:dyDescent="0.25">
      <c r="B6" s="13" t="s">
        <v>202</v>
      </c>
      <c r="C6" s="445" t="s">
        <v>222</v>
      </c>
      <c r="D6" s="443"/>
    </row>
    <row r="7" spans="2:5" ht="15.75" x14ac:dyDescent="0.25">
      <c r="B7" s="13" t="s">
        <v>203</v>
      </c>
      <c r="C7" s="445" t="s">
        <v>223</v>
      </c>
      <c r="D7" s="443"/>
    </row>
    <row r="8" spans="2:5" ht="15.75" x14ac:dyDescent="0.25">
      <c r="B8" s="13" t="s">
        <v>204</v>
      </c>
      <c r="C8" s="445" t="s">
        <v>224</v>
      </c>
      <c r="D8" s="443"/>
    </row>
    <row r="9" spans="2:5" ht="15.75" x14ac:dyDescent="0.25">
      <c r="B9" s="13" t="s">
        <v>205</v>
      </c>
      <c r="C9" s="445" t="s">
        <v>225</v>
      </c>
      <c r="D9" s="443"/>
    </row>
    <row r="10" spans="2:5" ht="15.75" x14ac:dyDescent="0.25">
      <c r="B10" s="13" t="s">
        <v>206</v>
      </c>
      <c r="C10" s="445" t="s">
        <v>218</v>
      </c>
      <c r="D10" s="443"/>
    </row>
    <row r="11" spans="2:5" ht="15.75" x14ac:dyDescent="0.25">
      <c r="B11" s="13" t="s">
        <v>207</v>
      </c>
      <c r="C11" s="445" t="s">
        <v>444</v>
      </c>
      <c r="D11" s="443"/>
    </row>
    <row r="12" spans="2:5" ht="15.75" x14ac:dyDescent="0.25">
      <c r="B12" s="13" t="s">
        <v>208</v>
      </c>
      <c r="C12" s="445" t="s">
        <v>227</v>
      </c>
      <c r="D12" s="443"/>
    </row>
    <row r="13" spans="2:5" ht="15.75" x14ac:dyDescent="0.25">
      <c r="B13" s="13" t="s">
        <v>209</v>
      </c>
      <c r="C13" s="445" t="s">
        <v>230</v>
      </c>
      <c r="D13" s="443"/>
    </row>
    <row r="14" spans="2:5" ht="15.75" x14ac:dyDescent="0.25">
      <c r="B14" s="13" t="s">
        <v>210</v>
      </c>
      <c r="C14" s="445" t="s">
        <v>231</v>
      </c>
      <c r="D14" s="443"/>
    </row>
    <row r="15" spans="2:5" ht="15.75" x14ac:dyDescent="0.25">
      <c r="B15" s="13" t="s">
        <v>211</v>
      </c>
      <c r="C15" s="445" t="s">
        <v>232</v>
      </c>
      <c r="D15" s="443"/>
    </row>
    <row r="16" spans="2:5" ht="15.75" x14ac:dyDescent="0.25">
      <c r="B16" s="13" t="s">
        <v>212</v>
      </c>
      <c r="C16" s="445" t="s">
        <v>233</v>
      </c>
      <c r="D16" s="443"/>
    </row>
    <row r="17" spans="2:4" ht="15.75" x14ac:dyDescent="0.25">
      <c r="B17" s="13" t="s">
        <v>213</v>
      </c>
      <c r="C17" s="445" t="s">
        <v>234</v>
      </c>
      <c r="D17" s="443"/>
    </row>
    <row r="18" spans="2:4" ht="15.75" x14ac:dyDescent="0.25">
      <c r="B18" s="13" t="s">
        <v>214</v>
      </c>
      <c r="C18" s="445" t="s">
        <v>235</v>
      </c>
      <c r="D18" s="443"/>
    </row>
    <row r="19" spans="2:4" ht="15.75" x14ac:dyDescent="0.25">
      <c r="B19" s="13" t="s">
        <v>215</v>
      </c>
      <c r="C19" s="445" t="s">
        <v>247</v>
      </c>
      <c r="D19" s="443"/>
    </row>
    <row r="20" spans="2:4" ht="15.75" x14ac:dyDescent="0.25">
      <c r="B20" s="13" t="s">
        <v>216</v>
      </c>
      <c r="C20" s="445" t="s">
        <v>241</v>
      </c>
      <c r="D20" s="443"/>
    </row>
    <row r="21" spans="2:4" ht="15.75" x14ac:dyDescent="0.25">
      <c r="B21" s="13" t="s">
        <v>217</v>
      </c>
      <c r="C21" s="445" t="s">
        <v>236</v>
      </c>
      <c r="D21" s="443"/>
    </row>
    <row r="22" spans="2:4" ht="15.75" x14ac:dyDescent="0.25">
      <c r="B22" s="13">
        <v>19</v>
      </c>
      <c r="C22" s="445" t="s">
        <v>263</v>
      </c>
      <c r="D22" s="443"/>
    </row>
    <row r="23" spans="2:4" x14ac:dyDescent="0.25">
      <c r="B23" s="13">
        <v>20</v>
      </c>
      <c r="C23" s="445" t="s">
        <v>314</v>
      </c>
    </row>
    <row r="24" spans="2:4" ht="15.75" x14ac:dyDescent="0.25">
      <c r="B24" s="13"/>
      <c r="C24" s="445" t="s">
        <v>219</v>
      </c>
      <c r="D24" s="443"/>
    </row>
    <row r="25" spans="2:4" x14ac:dyDescent="0.25">
      <c r="C25" s="441"/>
    </row>
  </sheetData>
  <mergeCells count="1">
    <mergeCell ref="B2:C2"/>
  </mergeCells>
  <hyperlinks>
    <hyperlink ref="C4" location="'1.Bara rotunda(Round Steel)'!A1" display="Bară rotundă/ Round Steel" xr:uid="{E97AC51D-33D9-477D-8DCA-E3DD63BCFBEF}"/>
    <hyperlink ref="C5" location="'2.Bara patrata(Square Steel)'!A1" display="Bară pătrată/ Square Steel" xr:uid="{7AFFAD9C-B6A0-4682-88C1-984A95FBCFAD}"/>
    <hyperlink ref="C6" location="'3.Coturi(Corners)'!A1" display="Coturi/Corners" xr:uid="{D82529DA-013B-4029-9A39-5AC4933DD6AD}"/>
    <hyperlink ref="C7" location="'4.Platbanda(Plate)'!A1" display="Platbandă/Plate" xr:uid="{32D114DC-0044-4AF6-9C1E-877ED3023C93}"/>
    <hyperlink ref="C8" location="'5.Plasă sudată(Welding Nets)'!A1" display="Plasă sudată/ Welding Nets" xr:uid="{4BAF3DCA-B2B5-4552-8EA4-A56A3CCB4A6E}"/>
    <hyperlink ref="C9" location="'6.Profile(Plofile L,U, ...)'!A1" display="Profile/ Plofile L,U, ..." xr:uid="{60BD6033-7615-4F9A-9AF5-D3F586CAAA96}"/>
    <hyperlink ref="C10" location="'7.Q railing '!A1" display="Q railing" xr:uid="{274D9E8F-91E5-48B5-B080-9A09C6359E97}"/>
    <hyperlink ref="C11" location="'8.Tabla neteda'!A1" display="Tablă netedă" xr:uid="{5C58D863-66E7-4B5B-A67C-7BEA3DAC954F}"/>
    <hyperlink ref="C12" location="'9.Tablă expd.(Expanded Plate)'!A1" display="Tablă expandată/ Expanded Plate" xr:uid="{04CEAF07-23EE-4745-9046-C7CC35C4E805}"/>
    <hyperlink ref="C13" location="'10.Tabla striata(Tåreplater)'!A1" display="Tablă striată/ Torre Plate" xr:uid="{B182B042-2D64-40A4-88A9-6C1798D63B11}"/>
    <hyperlink ref="C14" location="'11.Tablă Zi(Galvanizated Plate)'!A1" display="Tablă zincată/ Galvanizated Plate" xr:uid="{4FA3A105-B500-46BD-AE75-D1B1B682882F}"/>
    <hyperlink ref="C15" location="'12.Teava rotunda(Round Pipe)'!A1" display="Țeavă rotundă/ Round Pipe" xr:uid="{F7C8B357-5EF2-4EBA-9818-B72569BE1509}"/>
    <hyperlink ref="C16" location="'13.Teava patrata(Square Pipe)'!A1" display="Țeavă pătrată/ Square Pipe" xr:uid="{E7F572E9-B603-4B60-9885-E17A91B61AEB}"/>
    <hyperlink ref="C17" location="'14.Teava rectang.(Rectangular)'!A1" display="Țeavă rectangulară/Rectangular Pipe" xr:uid="{83C93643-3A4A-4929-8567-09329E726E21}"/>
    <hyperlink ref="C18" location="'15.Întinzător(Tensioner)'!A1" display="Întinzător/Tensioner" xr:uid="{B3A272B0-47FD-41A7-A557-C474C367AADB}"/>
    <hyperlink ref="C19" location="'16.Grătare(Gratinn)'!A1" display="Grătare/Grate" xr:uid="{7642849B-8B48-4D7B-81C6-AEE2984C4D80}"/>
    <hyperlink ref="C20" location="'17.Tije filetate(Threaded Rod)'!A1" display="Tije filetate/Threaded Rod" xr:uid="{54260980-43C7-4451-9D64-A317E15F406E}"/>
    <hyperlink ref="C21" location="'18.Consumabile(Supplies)'!A1" display="Consumabile/ Supplies" xr:uid="{39DD6C6B-112B-4C3D-BE1A-FE816D49BE08}"/>
    <hyperlink ref="C24" location="Euro!A1" display="Euro" xr:uid="{E4E22AA2-FF8B-497C-84F9-9048912A57F9}"/>
    <hyperlink ref="C22" location="'19.Feronart'!A1" display="Feronart" xr:uid="{074DCC26-7E3A-410E-83A4-5EDDEB570E6F}"/>
    <hyperlink ref="C23" location="'20.Lemn+Metal+Zincare'!A1" display="Pretui lemn/metal/zincare" xr:uid="{D911D9C0-E734-437F-BFC2-8A1B223A75F5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545ED-62EE-49C4-8B99-E8528386402F}">
  <sheetPr codeName="Sheet4"/>
  <dimension ref="A1:AI39"/>
  <sheetViews>
    <sheetView zoomScaleNormal="100" workbookViewId="0"/>
  </sheetViews>
  <sheetFormatPr defaultRowHeight="15" x14ac:dyDescent="0.25"/>
  <cols>
    <col min="1" max="1" width="16.42578125" customWidth="1"/>
    <col min="2" max="2" width="14.5703125" customWidth="1"/>
    <col min="3" max="3" width="10.140625" customWidth="1"/>
    <col min="4" max="4" width="30.42578125" customWidth="1"/>
    <col min="5" max="6" width="19.5703125" customWidth="1"/>
    <col min="7" max="7" width="16" customWidth="1"/>
    <col min="8" max="8" width="12.85546875" customWidth="1"/>
    <col min="9" max="9" width="12.5703125" customWidth="1"/>
    <col min="10" max="10" width="14.5703125" customWidth="1"/>
    <col min="11" max="11" width="11.7109375" customWidth="1"/>
    <col min="12" max="12" width="13.7109375" customWidth="1"/>
    <col min="13" max="13" width="12.7109375" customWidth="1"/>
    <col min="14" max="14" width="13.5703125" customWidth="1"/>
    <col min="15" max="17" width="12.5703125" customWidth="1"/>
    <col min="18" max="18" width="13.42578125" customWidth="1"/>
    <col min="19" max="19" width="18.85546875" customWidth="1"/>
    <col min="20" max="20" width="15" customWidth="1"/>
    <col min="21" max="21" width="17.7109375" customWidth="1"/>
  </cols>
  <sheetData>
    <row r="1" spans="1:35" ht="15.75" thickBot="1" x14ac:dyDescent="0.3">
      <c r="A1" s="445" t="s">
        <v>199</v>
      </c>
    </row>
    <row r="2" spans="1:35" ht="16.5" thickBot="1" x14ac:dyDescent="0.3">
      <c r="B2" s="937" t="s">
        <v>228</v>
      </c>
      <c r="C2" s="938"/>
      <c r="D2" s="939"/>
      <c r="E2" s="101"/>
      <c r="F2" s="101"/>
    </row>
    <row r="3" spans="1:35" x14ac:dyDescent="0.25">
      <c r="B3" s="946" t="s">
        <v>28</v>
      </c>
      <c r="C3" s="948" t="s">
        <v>29</v>
      </c>
      <c r="D3" s="105" t="s">
        <v>176</v>
      </c>
      <c r="E3" s="105" t="s">
        <v>418</v>
      </c>
      <c r="F3" s="122" t="s">
        <v>178</v>
      </c>
      <c r="G3" s="950" t="s">
        <v>39</v>
      </c>
      <c r="H3" s="126" t="s">
        <v>178</v>
      </c>
      <c r="I3" s="952" t="s">
        <v>39</v>
      </c>
      <c r="J3" s="130" t="s">
        <v>178</v>
      </c>
      <c r="K3" s="944" t="s">
        <v>39</v>
      </c>
      <c r="L3" s="132" t="s">
        <v>178</v>
      </c>
      <c r="M3" s="931" t="s">
        <v>39</v>
      </c>
      <c r="N3" s="134" t="s">
        <v>178</v>
      </c>
      <c r="O3" s="929" t="s">
        <v>39</v>
      </c>
      <c r="P3" s="136" t="s">
        <v>178</v>
      </c>
      <c r="Q3" s="927" t="s">
        <v>39</v>
      </c>
      <c r="R3" s="138" t="s">
        <v>178</v>
      </c>
      <c r="S3" s="933" t="s">
        <v>39</v>
      </c>
    </row>
    <row r="4" spans="1:35" ht="15.75" thickBot="1" x14ac:dyDescent="0.3">
      <c r="B4" s="947"/>
      <c r="C4" s="949"/>
      <c r="D4" s="52" t="s">
        <v>175</v>
      </c>
      <c r="E4" s="150" t="s">
        <v>419</v>
      </c>
      <c r="F4" s="123" t="s">
        <v>179</v>
      </c>
      <c r="G4" s="951"/>
      <c r="H4" s="127" t="s">
        <v>179</v>
      </c>
      <c r="I4" s="953"/>
      <c r="J4" s="131" t="s">
        <v>179</v>
      </c>
      <c r="K4" s="945"/>
      <c r="L4" s="133" t="s">
        <v>179</v>
      </c>
      <c r="M4" s="932"/>
      <c r="N4" s="135" t="s">
        <v>179</v>
      </c>
      <c r="O4" s="930"/>
      <c r="P4" s="137" t="s">
        <v>179</v>
      </c>
      <c r="Q4" s="928"/>
      <c r="R4" s="139" t="s">
        <v>179</v>
      </c>
      <c r="S4" s="934"/>
      <c r="T4" s="441"/>
    </row>
    <row r="5" spans="1:35" x14ac:dyDescent="0.25">
      <c r="B5" s="41" t="s">
        <v>484</v>
      </c>
      <c r="C5" s="8" t="s">
        <v>4</v>
      </c>
      <c r="D5" s="349">
        <v>39.457999999999998</v>
      </c>
      <c r="E5" s="739" cm="1">
        <f t="array" aca="1" ref="E5" ca="1">INDIRECT(ADDRESS(ROW(),MATCH(MAX(G5,I5,K5,M5,O5,Q5,S5),F5:S5,0)-1+COLUMNS(A5:E5),4))</f>
        <v>3.81</v>
      </c>
      <c r="F5" s="766">
        <v>3.81</v>
      </c>
      <c r="G5" s="400">
        <v>45154</v>
      </c>
      <c r="H5" s="424"/>
      <c r="I5" s="915"/>
      <c r="J5" s="912"/>
      <c r="K5" s="905"/>
      <c r="L5" s="425"/>
      <c r="M5" s="910"/>
      <c r="N5" s="908"/>
      <c r="O5" s="901"/>
      <c r="P5" s="427"/>
      <c r="Q5" s="904"/>
      <c r="R5" s="899"/>
      <c r="S5" s="900"/>
      <c r="T5" s="441"/>
    </row>
    <row r="6" spans="1:35" x14ac:dyDescent="0.25">
      <c r="B6" s="41" t="s">
        <v>182</v>
      </c>
      <c r="C6" s="8" t="s">
        <v>4</v>
      </c>
      <c r="D6" s="349">
        <v>15.413</v>
      </c>
      <c r="E6" s="733" cm="1">
        <f t="array" aca="1" ref="E6" ca="1">INDIRECT(ADDRESS(ROW(),MATCH(MAX(G6,I6,K6,M6,O6,Q6,S6),F6:S6,0)-1+COLUMNS(A6:E6),4))</f>
        <v>4.3</v>
      </c>
      <c r="F6" s="766">
        <v>4.0999999999999996</v>
      </c>
      <c r="G6" s="400">
        <v>44379</v>
      </c>
      <c r="H6" s="351">
        <v>4.3</v>
      </c>
      <c r="I6" s="59">
        <v>44606</v>
      </c>
      <c r="J6" s="700">
        <v>5</v>
      </c>
      <c r="K6" s="703">
        <v>44811</v>
      </c>
      <c r="L6" s="450">
        <v>4.3</v>
      </c>
      <c r="M6" s="73">
        <v>45061</v>
      </c>
      <c r="N6" s="706"/>
      <c r="O6" s="710"/>
      <c r="P6" s="578"/>
      <c r="Q6" s="87"/>
      <c r="R6" s="577"/>
      <c r="S6" s="94"/>
      <c r="T6" s="752"/>
    </row>
    <row r="7" spans="1:35" x14ac:dyDescent="0.25">
      <c r="B7" s="41" t="s">
        <v>130</v>
      </c>
      <c r="C7" s="8" t="s">
        <v>4</v>
      </c>
      <c r="D7" s="349">
        <v>9.8699999999999992</v>
      </c>
      <c r="E7" s="733" cm="1">
        <f t="array" aca="1" ref="E7" ca="1">INDIRECT(ADDRESS(ROW(),MATCH(MAX(G7,I7,K7,M7,O7,Q7,S7),F7:S7,0)-1+COLUMNS(A7:E7),4))</f>
        <v>3.5</v>
      </c>
      <c r="F7" s="766">
        <v>3.5</v>
      </c>
      <c r="G7" s="400">
        <v>44238</v>
      </c>
      <c r="H7" s="54"/>
      <c r="I7" s="319"/>
      <c r="J7" s="897"/>
      <c r="K7" s="906"/>
      <c r="L7" s="68"/>
      <c r="M7" s="321"/>
      <c r="N7" s="898"/>
      <c r="O7" s="902"/>
      <c r="P7" s="82"/>
      <c r="Q7" s="323"/>
      <c r="R7" s="89"/>
      <c r="S7" s="324"/>
      <c r="U7" s="752"/>
      <c r="V7" s="731" t="s">
        <v>414</v>
      </c>
      <c r="W7" s="731"/>
      <c r="X7" s="731"/>
      <c r="Y7" s="731"/>
      <c r="Z7" s="731"/>
      <c r="AA7" s="731"/>
    </row>
    <row r="8" spans="1:35" x14ac:dyDescent="0.25">
      <c r="B8" s="41" t="s">
        <v>190</v>
      </c>
      <c r="C8" s="8" t="s">
        <v>4</v>
      </c>
      <c r="D8" s="349">
        <v>5.55</v>
      </c>
      <c r="E8" s="733" cm="1">
        <f t="array" aca="1" ref="E8" ca="1">INDIRECT(ADDRESS(ROW(),MATCH(MAX(G8,I8,K8,M8,O8,Q8,S8),F8:S8,0)-1+COLUMNS(A8:E8),4))</f>
        <v>4.5</v>
      </c>
      <c r="F8" s="766">
        <v>5.5</v>
      </c>
      <c r="G8" s="400">
        <v>44833</v>
      </c>
      <c r="H8" s="56">
        <v>4.6500000000000004</v>
      </c>
      <c r="I8" s="59">
        <v>44853</v>
      </c>
      <c r="J8" s="913">
        <v>5.5</v>
      </c>
      <c r="K8" s="703">
        <v>44930</v>
      </c>
      <c r="L8" s="70">
        <v>4.5</v>
      </c>
      <c r="M8" s="73">
        <v>44932</v>
      </c>
      <c r="N8" s="879">
        <v>4.5999999999999996</v>
      </c>
      <c r="O8" s="710">
        <v>45002</v>
      </c>
      <c r="P8" s="84">
        <v>4.46</v>
      </c>
      <c r="Q8" s="87">
        <v>45043</v>
      </c>
      <c r="R8" s="91">
        <v>4.5</v>
      </c>
      <c r="S8" s="503">
        <v>45049</v>
      </c>
      <c r="U8" s="752"/>
      <c r="V8" s="671" t="s">
        <v>413</v>
      </c>
      <c r="W8" s="671"/>
      <c r="X8" s="671"/>
      <c r="Y8" s="671"/>
      <c r="Z8" s="671"/>
    </row>
    <row r="9" spans="1:35" x14ac:dyDescent="0.25">
      <c r="B9" s="41" t="s">
        <v>320</v>
      </c>
      <c r="C9" s="8" t="s">
        <v>4</v>
      </c>
      <c r="D9" s="349">
        <v>3.8530000000000002</v>
      </c>
      <c r="E9" s="733" cm="1">
        <f t="array" aca="1" ref="E9" ca="1">INDIRECT(ADDRESS(ROW(),MATCH(MAX(G9,I9,K9,M9,O9,Q9,S9),F9:S9,0)-1+COLUMNS(A9:E9),4))</f>
        <v>4.3</v>
      </c>
      <c r="F9" s="766">
        <v>4.2</v>
      </c>
      <c r="G9" s="400">
        <v>44622</v>
      </c>
      <c r="H9" s="56">
        <v>4.3</v>
      </c>
      <c r="I9" s="447">
        <v>44930</v>
      </c>
      <c r="J9" s="913"/>
      <c r="K9" s="907"/>
      <c r="L9" s="70"/>
      <c r="M9" s="71"/>
      <c r="N9" s="879"/>
      <c r="O9" s="903"/>
      <c r="P9" s="84"/>
      <c r="Q9" s="85"/>
      <c r="R9" s="91"/>
      <c r="S9" s="92"/>
      <c r="U9" s="752"/>
    </row>
    <row r="10" spans="1:35" x14ac:dyDescent="0.25">
      <c r="B10" s="41" t="s">
        <v>306</v>
      </c>
      <c r="C10" s="8" t="s">
        <v>4</v>
      </c>
      <c r="D10" s="349">
        <v>2.4660000000000002</v>
      </c>
      <c r="E10" s="733" cm="1">
        <f t="array" aca="1" ref="E10" ca="1">INDIRECT(ADDRESS(ROW(),MATCH(MAX(G10,I10,K10,M10,O10,Q10,S10),F10:S10,0)-1+COLUMNS(A10:E10),4))</f>
        <v>3.81</v>
      </c>
      <c r="F10" s="766">
        <v>4.32</v>
      </c>
      <c r="G10" s="400">
        <v>44592</v>
      </c>
      <c r="H10" s="56">
        <v>3.81</v>
      </c>
      <c r="I10" s="447">
        <v>45154</v>
      </c>
      <c r="J10" s="913"/>
      <c r="K10" s="907"/>
      <c r="L10" s="70"/>
      <c r="M10" s="71"/>
      <c r="N10" s="879"/>
      <c r="O10" s="903"/>
      <c r="P10" s="84"/>
      <c r="Q10" s="85"/>
      <c r="R10" s="91"/>
      <c r="S10" s="92"/>
      <c r="U10" s="752"/>
      <c r="V10" s="671" t="s">
        <v>411</v>
      </c>
      <c r="W10" s="671"/>
      <c r="X10" s="671"/>
      <c r="Y10" s="671"/>
      <c r="Z10" s="671"/>
      <c r="AA10" s="671"/>
      <c r="AB10" s="671"/>
      <c r="AC10" s="671"/>
    </row>
    <row r="11" spans="1:35" x14ac:dyDescent="0.25">
      <c r="B11" s="41" t="s">
        <v>280</v>
      </c>
      <c r="C11" s="8" t="s">
        <v>4</v>
      </c>
      <c r="D11" s="349">
        <v>2.4660000000000002</v>
      </c>
      <c r="E11" s="733" cm="1">
        <f t="array" aca="1" ref="E11" ca="1">INDIRECT(ADDRESS(ROW(),MATCH(MAX(G11,I11,K11,M11,O11,Q11,S11),F11:S11,0)-1+COLUMNS(A11:E11),4))</f>
        <v>8</v>
      </c>
      <c r="F11" s="766">
        <v>3.9</v>
      </c>
      <c r="G11" s="400">
        <v>44379</v>
      </c>
      <c r="H11" s="56">
        <v>8</v>
      </c>
      <c r="I11" s="447">
        <v>44503</v>
      </c>
      <c r="J11" s="913"/>
      <c r="K11" s="907"/>
      <c r="L11" s="70"/>
      <c r="M11" s="71"/>
      <c r="N11" s="879"/>
      <c r="O11" s="903"/>
      <c r="P11" s="84"/>
      <c r="Q11" s="85"/>
      <c r="R11" s="91"/>
      <c r="S11" s="92"/>
      <c r="U11" s="752"/>
      <c r="V11" s="671" t="s">
        <v>421</v>
      </c>
      <c r="W11" s="671"/>
      <c r="X11" s="671"/>
      <c r="Y11" s="671"/>
      <c r="Z11" s="671"/>
      <c r="AA11" s="671"/>
      <c r="AB11" s="671"/>
    </row>
    <row r="12" spans="1:35" x14ac:dyDescent="0.25">
      <c r="B12" s="41" t="s">
        <v>281</v>
      </c>
      <c r="C12" s="8" t="s">
        <v>4</v>
      </c>
      <c r="D12" s="349">
        <v>2.4660000000000002</v>
      </c>
      <c r="E12" s="733" cm="1">
        <f t="array" aca="1" ref="E12" ca="1">INDIRECT(ADDRESS(ROW(),MATCH(MAX(G12,I12,K12,M12,O12,Q12,S12),F12:S12,0)-1+COLUMNS(A12:E12),4))</f>
        <v>3.9</v>
      </c>
      <c r="F12" s="766">
        <v>3.62</v>
      </c>
      <c r="G12" s="400" t="s">
        <v>160</v>
      </c>
      <c r="H12" s="56">
        <v>3.9</v>
      </c>
      <c r="I12" s="447">
        <v>44503</v>
      </c>
      <c r="J12" s="536"/>
      <c r="K12" s="703"/>
      <c r="L12" s="72"/>
      <c r="M12" s="73"/>
      <c r="N12" s="755"/>
      <c r="O12" s="710"/>
      <c r="P12" s="86"/>
      <c r="Q12" s="87"/>
      <c r="R12" s="93"/>
      <c r="S12" s="94"/>
      <c r="U12" s="752"/>
      <c r="V12" s="671" t="s">
        <v>412</v>
      </c>
      <c r="W12" s="671"/>
      <c r="X12" s="671"/>
      <c r="Y12" s="671"/>
      <c r="Z12" s="671"/>
      <c r="AA12" s="671"/>
    </row>
    <row r="13" spans="1:35" ht="15.75" x14ac:dyDescent="0.25">
      <c r="B13" s="417" t="s">
        <v>128</v>
      </c>
      <c r="C13" s="8" t="s">
        <v>4</v>
      </c>
      <c r="D13" s="349">
        <v>1.5780000000000001</v>
      </c>
      <c r="E13" s="733" cm="1">
        <f t="array" aca="1" ref="E13" ca="1">INDIRECT(ADDRESS(ROW(),MATCH(MAX(G13,I13,K13,M13,O13,Q13,S13),F13:S13,0)-1+COLUMNS(A13:E13),4))</f>
        <v>4.5</v>
      </c>
      <c r="F13" s="766">
        <v>4.5</v>
      </c>
      <c r="G13" s="400">
        <v>44391</v>
      </c>
      <c r="H13" s="56">
        <v>5.6</v>
      </c>
      <c r="I13" s="59">
        <v>44606</v>
      </c>
      <c r="J13" s="913">
        <v>5.94</v>
      </c>
      <c r="K13" s="703">
        <v>44683</v>
      </c>
      <c r="L13" s="70">
        <v>5.5</v>
      </c>
      <c r="M13" s="73">
        <v>44700</v>
      </c>
      <c r="N13" s="879">
        <v>5</v>
      </c>
      <c r="O13" s="710">
        <v>44726</v>
      </c>
      <c r="P13" s="84">
        <v>4.6500000000000004</v>
      </c>
      <c r="Q13" s="87">
        <v>44930</v>
      </c>
      <c r="R13" s="91">
        <v>4.5</v>
      </c>
      <c r="S13" s="503">
        <v>44932</v>
      </c>
      <c r="U13" s="752">
        <f>MATCH(MAX(G6,I6,K6,M6,O6,Q6,S6),F6:S6,0)</f>
        <v>8</v>
      </c>
      <c r="V13" s="671" t="s">
        <v>422</v>
      </c>
      <c r="W13" s="671"/>
      <c r="X13" s="671"/>
      <c r="Y13" s="671"/>
      <c r="Z13" s="671"/>
      <c r="AA13" s="671"/>
      <c r="AB13" s="671"/>
      <c r="AC13" s="671"/>
      <c r="AD13" s="671"/>
      <c r="AE13" s="671"/>
      <c r="AF13" s="671"/>
      <c r="AG13" s="671"/>
      <c r="AH13" s="671"/>
      <c r="AI13" s="671"/>
    </row>
    <row r="14" spans="1:35" x14ac:dyDescent="0.25">
      <c r="B14" s="41" t="s">
        <v>425</v>
      </c>
      <c r="C14" s="8" t="s">
        <v>4</v>
      </c>
      <c r="D14" s="349">
        <v>1.5780000000000001</v>
      </c>
      <c r="E14" s="733" cm="1">
        <f t="array" aca="1" ref="E14" ca="1">INDIRECT(ADDRESS(ROW(),MATCH(MAX(G14,I14,K14,M14,O14,Q14,S14),F14:S14,0)-1+COLUMNS(A14:E14),4))</f>
        <v>6.95</v>
      </c>
      <c r="F14" s="767">
        <f>1.2*Euro!B3</f>
        <v>6.0360000000000005</v>
      </c>
      <c r="G14" s="400">
        <v>44565</v>
      </c>
      <c r="H14" s="56">
        <v>6.95</v>
      </c>
      <c r="I14" s="59">
        <v>44932</v>
      </c>
      <c r="J14" s="913"/>
      <c r="K14" s="703"/>
      <c r="L14" s="70"/>
      <c r="M14" s="73"/>
      <c r="N14" s="879"/>
      <c r="O14" s="710"/>
      <c r="P14" s="84"/>
      <c r="Q14" s="87"/>
      <c r="R14" s="91"/>
      <c r="S14" s="94"/>
      <c r="U14" s="752"/>
    </row>
    <row r="15" spans="1:35" ht="15.75" x14ac:dyDescent="0.25">
      <c r="A15" s="11" t="s">
        <v>474</v>
      </c>
      <c r="B15" s="417" t="s">
        <v>342</v>
      </c>
      <c r="C15" s="8" t="s">
        <v>4</v>
      </c>
      <c r="D15" s="349">
        <v>0.88800000000000001</v>
      </c>
      <c r="E15" s="733" cm="1">
        <f t="array" aca="1" ref="E15" ca="1">INDIRECT(ADDRESS(ROW(),MATCH(MAX(G15,I15,K15,M15,O15,Q15,S15),F15:S15,0)-1+COLUMNS(A15:E15),4))</f>
        <v>7.1</v>
      </c>
      <c r="F15" s="767">
        <v>5.5</v>
      </c>
      <c r="G15" s="400">
        <v>44700</v>
      </c>
      <c r="H15" s="56">
        <v>5</v>
      </c>
      <c r="I15" s="59">
        <v>44719</v>
      </c>
      <c r="J15" s="913">
        <v>4.5</v>
      </c>
      <c r="K15" s="703">
        <v>44932</v>
      </c>
      <c r="L15" s="70">
        <v>7.1</v>
      </c>
      <c r="M15" s="73">
        <v>45169</v>
      </c>
      <c r="N15" s="879"/>
      <c r="O15" s="710"/>
      <c r="P15" s="84"/>
      <c r="Q15" s="87"/>
      <c r="R15" s="91"/>
      <c r="S15" s="94"/>
      <c r="U15" s="752"/>
      <c r="V15" s="671" t="s">
        <v>415</v>
      </c>
      <c r="W15" s="671"/>
      <c r="X15" s="671"/>
      <c r="Y15" s="671"/>
      <c r="Z15" s="671"/>
      <c r="AA15" s="671"/>
    </row>
    <row r="16" spans="1:35" ht="15.75" x14ac:dyDescent="0.25">
      <c r="B16" s="417" t="s">
        <v>107</v>
      </c>
      <c r="C16" s="8" t="s">
        <v>4</v>
      </c>
      <c r="D16" s="349">
        <v>0.88800000000000001</v>
      </c>
      <c r="E16" s="733" cm="1">
        <f t="array" aca="1" ref="E16" ca="1">INDIRECT(ADDRESS(ROW(),MATCH(MAX(G16,I16,K16,M16,O16,Q16,S16),F16:S16,0)-1+COLUMNS(A16:E16),4))</f>
        <v>7.6</v>
      </c>
      <c r="F16" s="766">
        <v>6.95</v>
      </c>
      <c r="G16" s="400">
        <v>44811</v>
      </c>
      <c r="H16" s="56">
        <v>7</v>
      </c>
      <c r="I16" s="59">
        <v>44911</v>
      </c>
      <c r="J16" s="913">
        <v>6.95</v>
      </c>
      <c r="K16" s="703">
        <v>44966</v>
      </c>
      <c r="L16" s="70">
        <v>6.9</v>
      </c>
      <c r="M16" s="73">
        <v>44977</v>
      </c>
      <c r="N16" s="879">
        <v>7.6</v>
      </c>
      <c r="O16" s="710">
        <v>44979</v>
      </c>
      <c r="P16" s="84">
        <v>7.55</v>
      </c>
      <c r="Q16" s="87">
        <v>44999</v>
      </c>
      <c r="R16" s="91">
        <v>7.6</v>
      </c>
      <c r="S16" s="503">
        <v>45061</v>
      </c>
      <c r="U16" s="752" t="s">
        <v>446</v>
      </c>
      <c r="V16" s="671" t="s">
        <v>417</v>
      </c>
      <c r="W16" s="671"/>
      <c r="X16" s="671"/>
      <c r="Y16" s="671"/>
    </row>
    <row r="17" spans="1:26" x14ac:dyDescent="0.25">
      <c r="B17" s="41" t="s">
        <v>31</v>
      </c>
      <c r="C17" s="8" t="s">
        <v>4</v>
      </c>
      <c r="D17" s="349">
        <v>0.61699999999999999</v>
      </c>
      <c r="E17" s="733" cm="1">
        <f t="array" aca="1" ref="E17" ca="1">INDIRECT(ADDRESS(ROW(),MATCH(MAX(G17,I17,K17,M17,O17,Q17,S17),F17:S17,0)-1+COLUMNS(A17:E17),4))</f>
        <v>7.2</v>
      </c>
      <c r="F17" s="766">
        <v>5.94</v>
      </c>
      <c r="G17" s="400">
        <v>44683</v>
      </c>
      <c r="H17" s="56">
        <v>5</v>
      </c>
      <c r="I17" s="59">
        <v>44726</v>
      </c>
      <c r="J17" s="913">
        <v>6.95</v>
      </c>
      <c r="K17" s="703">
        <v>44819</v>
      </c>
      <c r="L17" s="70">
        <v>7</v>
      </c>
      <c r="M17" s="73">
        <v>44889</v>
      </c>
      <c r="N17" s="879">
        <v>8.6</v>
      </c>
      <c r="O17" s="710">
        <v>44930</v>
      </c>
      <c r="P17" s="84">
        <v>6.6</v>
      </c>
      <c r="Q17" s="87">
        <v>45007</v>
      </c>
      <c r="R17" s="91">
        <v>7.2</v>
      </c>
      <c r="S17" s="503">
        <v>45050</v>
      </c>
      <c r="U17" s="752"/>
    </row>
    <row r="18" spans="1:26" x14ac:dyDescent="0.25">
      <c r="B18" s="41" t="s">
        <v>365</v>
      </c>
      <c r="C18" s="8" t="s">
        <v>4</v>
      </c>
      <c r="D18" s="414">
        <v>0.39500000000000002</v>
      </c>
      <c r="E18" s="733" cm="1">
        <f t="array" aca="1" ref="E18" ca="1">INDIRECT(ADDRESS(ROW(),MATCH(MAX(G18,I18,K18,M18,O18,Q18,S18),F18:S18,0)-1+COLUMNS(A18:E18),4))</f>
        <v>7</v>
      </c>
      <c r="F18" s="766">
        <v>2.7</v>
      </c>
      <c r="G18" s="533">
        <v>43843</v>
      </c>
      <c r="H18" s="56">
        <v>6.95</v>
      </c>
      <c r="I18" s="59">
        <v>44700</v>
      </c>
      <c r="J18" s="913">
        <v>7</v>
      </c>
      <c r="K18" s="703">
        <v>44853</v>
      </c>
      <c r="L18" s="70"/>
      <c r="M18" s="73"/>
      <c r="N18" s="879"/>
      <c r="O18" s="710"/>
      <c r="P18" s="84"/>
      <c r="Q18" s="87"/>
      <c r="R18" s="91"/>
      <c r="S18" s="94"/>
      <c r="U18" s="752"/>
      <c r="V18" s="671" t="s">
        <v>416</v>
      </c>
      <c r="W18" s="671"/>
      <c r="X18" s="671"/>
      <c r="Y18" s="671"/>
      <c r="Z18" s="671"/>
    </row>
    <row r="19" spans="1:26" x14ac:dyDescent="0.25">
      <c r="A19" t="s">
        <v>457</v>
      </c>
      <c r="B19" s="41" t="s">
        <v>456</v>
      </c>
      <c r="C19" s="8" t="s">
        <v>4</v>
      </c>
      <c r="D19" s="414">
        <v>0.39500000000000002</v>
      </c>
      <c r="E19" s="733" cm="1">
        <f t="array" aca="1" ref="E19" ca="1">INDIRECT(ADDRESS(ROW(),MATCH(MAX(G19,I19,K19,M19,O19,Q19,S19),F19:S19,0)-1+COLUMNS(A19:E19),4))</f>
        <v>4.9000000000000004</v>
      </c>
      <c r="F19" s="766">
        <v>4.9000000000000004</v>
      </c>
      <c r="G19" s="533">
        <v>45007</v>
      </c>
      <c r="H19" s="56"/>
      <c r="I19" s="59"/>
      <c r="J19" s="913"/>
      <c r="K19" s="703"/>
      <c r="L19" s="70"/>
      <c r="M19" s="73"/>
      <c r="N19" s="879"/>
      <c r="O19" s="710"/>
      <c r="P19" s="84"/>
      <c r="Q19" s="87"/>
      <c r="R19" s="91"/>
      <c r="S19" s="94"/>
      <c r="U19" s="752"/>
      <c r="V19" s="671"/>
      <c r="W19" s="671"/>
      <c r="X19" s="671"/>
      <c r="Y19" s="671"/>
      <c r="Z19" s="671"/>
    </row>
    <row r="20" spans="1:26" ht="15.75" thickBot="1" x14ac:dyDescent="0.3">
      <c r="B20" s="4" t="s">
        <v>256</v>
      </c>
      <c r="C20" s="16" t="s">
        <v>4</v>
      </c>
      <c r="D20" s="712">
        <v>0.222</v>
      </c>
      <c r="E20" s="734" cm="1">
        <f t="array" aca="1" ref="E20" ca="1">INDIRECT(ADDRESS(ROW(),MATCH(MAX(G20,I20,K20,M20,O20,Q20,S20),F20:S20,0)-1+COLUMNS(A20:E20),4))</f>
        <v>8.3000000000000007</v>
      </c>
      <c r="F20" s="768">
        <v>4.9000000000000004</v>
      </c>
      <c r="G20" s="911" t="s">
        <v>257</v>
      </c>
      <c r="H20" s="488">
        <v>5.0999999999999996</v>
      </c>
      <c r="I20" s="489">
        <v>44930</v>
      </c>
      <c r="J20" s="914">
        <v>8.3000000000000007</v>
      </c>
      <c r="K20" s="704">
        <v>45043</v>
      </c>
      <c r="L20" s="490"/>
      <c r="M20" s="491"/>
      <c r="N20" s="909"/>
      <c r="O20" s="711"/>
      <c r="P20" s="492"/>
      <c r="Q20" s="493"/>
      <c r="R20" s="95"/>
      <c r="S20" s="363"/>
      <c r="U20" s="752"/>
    </row>
    <row r="21" spans="1:26" ht="15.75" thickBot="1" x14ac:dyDescent="0.3">
      <c r="G21" s="43"/>
      <c r="H21" s="141"/>
      <c r="I21" s="43"/>
      <c r="J21" s="141"/>
      <c r="K21" s="43"/>
      <c r="L21" s="141"/>
      <c r="M21" s="43"/>
      <c r="N21" s="141"/>
      <c r="O21" s="43"/>
      <c r="P21" s="141"/>
      <c r="Q21" s="43"/>
      <c r="R21" s="141"/>
      <c r="U21" s="671" t="s">
        <v>423</v>
      </c>
      <c r="V21" s="671"/>
    </row>
    <row r="22" spans="1:26" ht="16.5" thickBot="1" x14ac:dyDescent="0.3">
      <c r="B22" s="937" t="s">
        <v>237</v>
      </c>
      <c r="C22" s="938"/>
      <c r="D22" s="938"/>
      <c r="E22" s="939"/>
      <c r="F22" s="101"/>
      <c r="G22" s="101"/>
      <c r="R22" s="729"/>
    </row>
    <row r="23" spans="1:26" x14ac:dyDescent="0.25">
      <c r="B23" s="17" t="s">
        <v>28</v>
      </c>
      <c r="C23" s="18" t="s">
        <v>29</v>
      </c>
      <c r="D23" s="18" t="s">
        <v>133</v>
      </c>
      <c r="E23" s="100" t="s">
        <v>177</v>
      </c>
      <c r="F23" s="769" t="s">
        <v>418</v>
      </c>
      <c r="G23" s="122" t="s">
        <v>178</v>
      </c>
      <c r="H23" s="940" t="s">
        <v>39</v>
      </c>
      <c r="I23" s="126" t="s">
        <v>178</v>
      </c>
      <c r="J23" s="942" t="s">
        <v>39</v>
      </c>
      <c r="K23" s="130" t="s">
        <v>178</v>
      </c>
      <c r="L23" s="944" t="s">
        <v>39</v>
      </c>
      <c r="M23" s="132" t="s">
        <v>178</v>
      </c>
      <c r="N23" s="931" t="s">
        <v>39</v>
      </c>
      <c r="O23" s="134" t="s">
        <v>178</v>
      </c>
      <c r="P23" s="929" t="s">
        <v>39</v>
      </c>
      <c r="Q23" s="136" t="s">
        <v>178</v>
      </c>
      <c r="R23" s="927" t="s">
        <v>39</v>
      </c>
      <c r="S23" s="138" t="s">
        <v>178</v>
      </c>
      <c r="T23" s="933" t="s">
        <v>39</v>
      </c>
    </row>
    <row r="24" spans="1:26" ht="15.75" thickBot="1" x14ac:dyDescent="0.3">
      <c r="B24" s="38"/>
      <c r="C24" s="39"/>
      <c r="D24" s="39"/>
      <c r="E24" s="40" t="s">
        <v>175</v>
      </c>
      <c r="F24" s="278" t="s">
        <v>419</v>
      </c>
      <c r="G24" s="123" t="s">
        <v>179</v>
      </c>
      <c r="H24" s="941"/>
      <c r="I24" s="127" t="s">
        <v>179</v>
      </c>
      <c r="J24" s="943"/>
      <c r="K24" s="131" t="s">
        <v>179</v>
      </c>
      <c r="L24" s="945"/>
      <c r="M24" s="133" t="s">
        <v>179</v>
      </c>
      <c r="N24" s="932"/>
      <c r="O24" s="135" t="s">
        <v>179</v>
      </c>
      <c r="P24" s="930"/>
      <c r="Q24" s="137" t="s">
        <v>179</v>
      </c>
      <c r="R24" s="928"/>
      <c r="S24" s="139" t="s">
        <v>179</v>
      </c>
      <c r="T24" s="934"/>
    </row>
    <row r="25" spans="1:26" x14ac:dyDescent="0.25">
      <c r="B25" s="12" t="s">
        <v>251</v>
      </c>
      <c r="C25" s="10" t="s">
        <v>4</v>
      </c>
      <c r="D25" s="10" t="s">
        <v>134</v>
      </c>
      <c r="E25" s="34">
        <v>0.222</v>
      </c>
      <c r="F25" s="775" cm="1">
        <f t="array" aca="1" ref="F25" ca="1">INDIRECT(ADDRESS(ROW(),MATCH(MAX(H25,J25,L25,N25,P25,R25,T25),G25:S25,0)-1+COLUMNS(A25:F25),4))</f>
        <v>4.6879600000000003</v>
      </c>
      <c r="G25" s="772">
        <f>0.932*Euro!B3</f>
        <v>4.6879600000000003</v>
      </c>
      <c r="H25" s="102">
        <v>44448</v>
      </c>
      <c r="I25" s="454"/>
      <c r="J25" s="319"/>
      <c r="K25" s="476"/>
      <c r="L25" s="484"/>
      <c r="M25" s="382"/>
      <c r="N25" s="485"/>
      <c r="O25" s="477"/>
      <c r="P25" s="486"/>
      <c r="Q25" s="386"/>
      <c r="R25" s="630"/>
      <c r="S25" s="390"/>
      <c r="T25" s="358"/>
    </row>
    <row r="26" spans="1:26" x14ac:dyDescent="0.25">
      <c r="B26" s="12" t="s">
        <v>142</v>
      </c>
      <c r="C26" s="10" t="s">
        <v>4</v>
      </c>
      <c r="D26" s="10" t="s">
        <v>343</v>
      </c>
      <c r="E26" s="34">
        <v>0.88800000000000001</v>
      </c>
      <c r="F26" s="776" cm="1">
        <f t="array" aca="1" ref="F26" ca="1">INDIRECT(ADDRESS(ROW(),MATCH(MAX(H26,J26,L26,N26,P26,R26,T26),G26:S26,0)-1+COLUMNS(A26:F26),4))</f>
        <v>27.5</v>
      </c>
      <c r="G26" s="773">
        <f>3*Euro!B3</f>
        <v>15.09</v>
      </c>
      <c r="H26" s="102">
        <v>44251</v>
      </c>
      <c r="I26" s="478">
        <v>23.5</v>
      </c>
      <c r="J26" s="479">
        <v>44606</v>
      </c>
      <c r="K26" s="480">
        <v>33</v>
      </c>
      <c r="L26" s="354">
        <v>44700</v>
      </c>
      <c r="M26" s="481">
        <f>6.5*Euro!B3</f>
        <v>32.695</v>
      </c>
      <c r="N26" s="355">
        <v>44732</v>
      </c>
      <c r="O26" s="482">
        <v>27.5</v>
      </c>
      <c r="P26" s="357">
        <v>44932</v>
      </c>
      <c r="Q26" s="483"/>
      <c r="R26" s="370"/>
      <c r="S26" s="577"/>
      <c r="T26" s="94"/>
    </row>
    <row r="27" spans="1:26" ht="15.75" thickBot="1" x14ac:dyDescent="0.3">
      <c r="B27" s="12" t="s">
        <v>185</v>
      </c>
      <c r="C27" s="10" t="s">
        <v>4</v>
      </c>
      <c r="D27" s="10" t="s">
        <v>134</v>
      </c>
      <c r="E27" s="34">
        <v>1.5780000000000001</v>
      </c>
      <c r="F27" s="777" cm="1">
        <f t="array" aca="1" ref="F27" ca="1">INDIRECT(ADDRESS(ROW(),MATCH(MAX(H27,J27,L27,N27,P27,R27,T27),G27:S27,0)-1+COLUMNS(A27:F27),4))</f>
        <v>19.114000000000001</v>
      </c>
      <c r="G27" s="774">
        <f>3.8*Euro!B3</f>
        <v>19.114000000000001</v>
      </c>
      <c r="H27" s="102">
        <v>44382</v>
      </c>
      <c r="I27" s="478"/>
      <c r="J27" s="479"/>
      <c r="K27" s="480"/>
      <c r="L27" s="354"/>
      <c r="M27" s="481"/>
      <c r="N27" s="355"/>
      <c r="O27" s="482"/>
      <c r="P27" s="357"/>
      <c r="Q27" s="483"/>
      <c r="R27" s="370"/>
      <c r="S27" s="391"/>
      <c r="T27" s="96"/>
    </row>
    <row r="28" spans="1:26" ht="15.75" thickBot="1" x14ac:dyDescent="0.3"/>
    <row r="29" spans="1:26" ht="16.5" thickBot="1" x14ac:dyDescent="0.3">
      <c r="B29" s="937" t="s">
        <v>259</v>
      </c>
      <c r="C29" s="938"/>
      <c r="D29" s="938"/>
      <c r="E29" s="939"/>
      <c r="F29" s="770"/>
      <c r="G29" s="101"/>
      <c r="H29" s="101"/>
    </row>
    <row r="30" spans="1:26" x14ac:dyDescent="0.25">
      <c r="B30" s="17" t="s">
        <v>28</v>
      </c>
      <c r="C30" s="18" t="s">
        <v>29</v>
      </c>
      <c r="D30" s="18" t="s">
        <v>133</v>
      </c>
      <c r="E30" s="100" t="s">
        <v>177</v>
      </c>
      <c r="F30" s="769" t="s">
        <v>418</v>
      </c>
      <c r="G30" s="122" t="s">
        <v>178</v>
      </c>
      <c r="H30" s="940" t="s">
        <v>39</v>
      </c>
      <c r="I30" s="126" t="s">
        <v>178</v>
      </c>
      <c r="J30" s="942" t="s">
        <v>39</v>
      </c>
      <c r="K30" s="130" t="s">
        <v>178</v>
      </c>
      <c r="L30" s="944" t="s">
        <v>39</v>
      </c>
      <c r="M30" s="132" t="s">
        <v>178</v>
      </c>
      <c r="N30" s="931" t="s">
        <v>39</v>
      </c>
      <c r="O30" s="134" t="s">
        <v>178</v>
      </c>
      <c r="P30" s="929" t="s">
        <v>39</v>
      </c>
      <c r="Q30" s="136" t="s">
        <v>178</v>
      </c>
      <c r="R30" s="927" t="s">
        <v>39</v>
      </c>
      <c r="S30" s="138" t="s">
        <v>178</v>
      </c>
      <c r="T30" s="933" t="s">
        <v>39</v>
      </c>
    </row>
    <row r="31" spans="1:26" ht="15.75" thickBot="1" x14ac:dyDescent="0.3">
      <c r="B31" s="38"/>
      <c r="C31" s="39"/>
      <c r="D31" s="39"/>
      <c r="E31" s="40" t="s">
        <v>175</v>
      </c>
      <c r="F31" s="278" t="s">
        <v>419</v>
      </c>
      <c r="G31" s="123" t="s">
        <v>179</v>
      </c>
      <c r="H31" s="941"/>
      <c r="I31" s="127" t="s">
        <v>179</v>
      </c>
      <c r="J31" s="943"/>
      <c r="K31" s="131" t="s">
        <v>179</v>
      </c>
      <c r="L31" s="945"/>
      <c r="M31" s="133" t="s">
        <v>179</v>
      </c>
      <c r="N31" s="932"/>
      <c r="O31" s="135" t="s">
        <v>179</v>
      </c>
      <c r="P31" s="930"/>
      <c r="Q31" s="137" t="s">
        <v>179</v>
      </c>
      <c r="R31" s="928"/>
      <c r="S31" s="139" t="s">
        <v>179</v>
      </c>
      <c r="T31" s="934"/>
    </row>
    <row r="32" spans="1:26" ht="15.75" thickBot="1" x14ac:dyDescent="0.3">
      <c r="B32" s="5" t="s">
        <v>260</v>
      </c>
      <c r="C32" s="10" t="s">
        <v>0</v>
      </c>
      <c r="D32" s="10"/>
      <c r="E32" s="34">
        <v>0.61699999999999999</v>
      </c>
      <c r="F32" s="778" cm="1">
        <f t="array" aca="1" ref="F32" ca="1">INDIRECT(ADDRESS(ROW(),MATCH(MAX(H32,J32,L32,N32,P32,R32,T32),G32:S32,0)-1+COLUMNS(A32:F32),4))</f>
        <v>22.6</v>
      </c>
      <c r="G32" s="772">
        <v>22</v>
      </c>
      <c r="H32" s="730">
        <v>44480</v>
      </c>
      <c r="I32" s="504">
        <v>22.6</v>
      </c>
      <c r="J32" s="319">
        <v>45037</v>
      </c>
      <c r="K32" s="476"/>
      <c r="L32" s="484"/>
      <c r="M32" s="382"/>
      <c r="N32" s="485"/>
      <c r="O32" s="477"/>
      <c r="P32" s="486"/>
      <c r="Q32" s="386"/>
      <c r="R32" s="630"/>
      <c r="S32" s="771"/>
      <c r="T32" s="121"/>
    </row>
    <row r="33" spans="2:18" x14ac:dyDescent="0.25">
      <c r="B33" s="506" t="s">
        <v>261</v>
      </c>
      <c r="H33" s="505"/>
      <c r="I33" s="505"/>
      <c r="J33" s="505"/>
      <c r="K33" s="505"/>
      <c r="L33" s="505"/>
      <c r="M33" s="505"/>
      <c r="N33" s="505"/>
      <c r="O33" s="505"/>
      <c r="P33" s="505"/>
      <c r="Q33" s="505"/>
      <c r="R33" s="505"/>
    </row>
    <row r="34" spans="2:18" ht="15.75" thickBot="1" x14ac:dyDescent="0.3"/>
    <row r="35" spans="2:18" ht="15.75" thickBot="1" x14ac:dyDescent="0.3">
      <c r="B35" s="866"/>
      <c r="C35" s="867"/>
      <c r="D35" s="860" t="s">
        <v>432</v>
      </c>
      <c r="E35" s="861" t="s">
        <v>29</v>
      </c>
      <c r="F35" s="861" t="s">
        <v>426</v>
      </c>
      <c r="G35" s="861" t="s">
        <v>427</v>
      </c>
      <c r="H35" s="862" t="s">
        <v>428</v>
      </c>
      <c r="I35" s="863" t="s">
        <v>429</v>
      </c>
      <c r="J35" s="863" t="s">
        <v>430</v>
      </c>
    </row>
    <row r="36" spans="2:18" ht="16.5" thickBot="1" x14ac:dyDescent="0.3">
      <c r="B36" s="935" t="s">
        <v>424</v>
      </c>
      <c r="C36" s="936"/>
      <c r="D36" s="865" t="s">
        <v>491</v>
      </c>
      <c r="E36" s="695" t="s">
        <v>4</v>
      </c>
      <c r="F36" s="864">
        <f>I36*1.08</f>
        <v>0.28771199999999997</v>
      </c>
      <c r="G36" s="859">
        <v>7.1</v>
      </c>
      <c r="H36" s="864">
        <f>G36*F36</f>
        <v>2.0427551999999998</v>
      </c>
      <c r="I36" s="864">
        <f>(0.06*5)*0.888</f>
        <v>0.26639999999999997</v>
      </c>
      <c r="J36" s="864">
        <f>3.14*0.012*(0.06*5)+3.14*0.006*0.006*2*5</f>
        <v>1.2434400000000002E-2</v>
      </c>
    </row>
    <row r="39" spans="2:18" x14ac:dyDescent="0.25">
      <c r="G39" t="s">
        <v>431</v>
      </c>
    </row>
  </sheetData>
  <mergeCells count="27">
    <mergeCell ref="B2:D2"/>
    <mergeCell ref="B3:B4"/>
    <mergeCell ref="C3:C4"/>
    <mergeCell ref="G3:G4"/>
    <mergeCell ref="T23:T24"/>
    <mergeCell ref="B22:E22"/>
    <mergeCell ref="S3:S4"/>
    <mergeCell ref="H23:H24"/>
    <mergeCell ref="J23:J24"/>
    <mergeCell ref="L23:L24"/>
    <mergeCell ref="N23:N24"/>
    <mergeCell ref="P23:P24"/>
    <mergeCell ref="R23:R24"/>
    <mergeCell ref="I3:I4"/>
    <mergeCell ref="K3:K4"/>
    <mergeCell ref="O3:O4"/>
    <mergeCell ref="Q3:Q4"/>
    <mergeCell ref="P30:P31"/>
    <mergeCell ref="M3:M4"/>
    <mergeCell ref="T30:T31"/>
    <mergeCell ref="B36:C36"/>
    <mergeCell ref="R30:R31"/>
    <mergeCell ref="B29:E29"/>
    <mergeCell ref="H30:H31"/>
    <mergeCell ref="J30:J31"/>
    <mergeCell ref="L30:L31"/>
    <mergeCell ref="N30:N31"/>
  </mergeCells>
  <phoneticPr fontId="2" type="noConversion"/>
  <hyperlinks>
    <hyperlink ref="A1" location="CUPRINS!A1" display="CUPRINS" xr:uid="{0C37C84E-058E-444B-BB1F-516C7CB4DE65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E500-5BCA-4633-9C0B-8DA80CE6A26D}">
  <sheetPr codeName="Sheet5"/>
  <dimension ref="A1:T15"/>
  <sheetViews>
    <sheetView workbookViewId="0"/>
  </sheetViews>
  <sheetFormatPr defaultRowHeight="15" x14ac:dyDescent="0.25"/>
  <cols>
    <col min="1" max="1" width="20.28515625" customWidth="1"/>
    <col min="2" max="2" width="19.28515625" customWidth="1"/>
    <col min="4" max="5" width="24" customWidth="1"/>
    <col min="6" max="6" width="16" customWidth="1"/>
    <col min="7" max="7" width="23" customWidth="1"/>
    <col min="8" max="8" width="12.5703125" customWidth="1"/>
    <col min="10" max="10" width="12.140625" customWidth="1"/>
    <col min="12" max="12" width="12.85546875" customWidth="1"/>
    <col min="14" max="14" width="16.42578125" customWidth="1"/>
    <col min="16" max="16" width="15.140625" customWidth="1"/>
    <col min="18" max="18" width="15.5703125" customWidth="1"/>
    <col min="20" max="20" width="20.140625" customWidth="1"/>
  </cols>
  <sheetData>
    <row r="1" spans="1:20" ht="15.75" thickBot="1" x14ac:dyDescent="0.3">
      <c r="A1" s="445" t="s">
        <v>199</v>
      </c>
    </row>
    <row r="2" spans="1:20" ht="16.5" thickBot="1" x14ac:dyDescent="0.3">
      <c r="B2" s="937" t="s">
        <v>229</v>
      </c>
      <c r="C2" s="938"/>
      <c r="D2" s="939"/>
      <c r="E2" s="770"/>
      <c r="F2" s="101"/>
      <c r="G2" s="101"/>
    </row>
    <row r="3" spans="1:20" x14ac:dyDescent="0.25">
      <c r="B3" s="946" t="s">
        <v>28</v>
      </c>
      <c r="C3" s="948" t="s">
        <v>29</v>
      </c>
      <c r="D3" s="105" t="s">
        <v>176</v>
      </c>
      <c r="E3" s="105" t="s">
        <v>418</v>
      </c>
      <c r="F3" s="122" t="s">
        <v>178</v>
      </c>
      <c r="G3" s="950" t="s">
        <v>39</v>
      </c>
      <c r="H3" s="126" t="s">
        <v>178</v>
      </c>
      <c r="I3" s="942" t="s">
        <v>39</v>
      </c>
      <c r="J3" s="130" t="s">
        <v>178</v>
      </c>
      <c r="K3" s="944" t="s">
        <v>39</v>
      </c>
      <c r="L3" s="132" t="s">
        <v>178</v>
      </c>
      <c r="M3" s="931" t="s">
        <v>39</v>
      </c>
      <c r="N3" s="134" t="s">
        <v>178</v>
      </c>
      <c r="O3" s="929" t="s">
        <v>39</v>
      </c>
      <c r="P3" s="136" t="s">
        <v>178</v>
      </c>
      <c r="Q3" s="927" t="s">
        <v>39</v>
      </c>
      <c r="R3" s="138" t="s">
        <v>178</v>
      </c>
      <c r="S3" s="933" t="s">
        <v>39</v>
      </c>
    </row>
    <row r="4" spans="1:20" ht="15.75" thickBot="1" x14ac:dyDescent="0.3">
      <c r="B4" s="947"/>
      <c r="C4" s="949"/>
      <c r="D4" s="52" t="s">
        <v>175</v>
      </c>
      <c r="E4" s="150" t="s">
        <v>419</v>
      </c>
      <c r="F4" s="123" t="s">
        <v>179</v>
      </c>
      <c r="G4" s="951"/>
      <c r="H4" s="127" t="s">
        <v>179</v>
      </c>
      <c r="I4" s="943"/>
      <c r="J4" s="131" t="s">
        <v>179</v>
      </c>
      <c r="K4" s="945"/>
      <c r="L4" s="133" t="s">
        <v>179</v>
      </c>
      <c r="M4" s="932"/>
      <c r="N4" s="135" t="s">
        <v>179</v>
      </c>
      <c r="O4" s="930"/>
      <c r="P4" s="137" t="s">
        <v>179</v>
      </c>
      <c r="Q4" s="928"/>
      <c r="R4" s="139" t="s">
        <v>179</v>
      </c>
      <c r="S4" s="934"/>
      <c r="T4" s="441"/>
    </row>
    <row r="5" spans="1:20" x14ac:dyDescent="0.25">
      <c r="B5" s="48" t="s">
        <v>79</v>
      </c>
      <c r="C5" s="49" t="s">
        <v>4</v>
      </c>
      <c r="D5" s="921">
        <v>3.14</v>
      </c>
      <c r="E5" s="739" cm="1">
        <f t="array" aca="1" ref="E5" ca="1">INDIRECT(ADDRESS(ROW(),MATCH(MAX(G5,I5,K5,M5,O5,Q5,S5),F5:S5,0)-1+COLUMNS(A5:E5),4))</f>
        <v>2.61</v>
      </c>
      <c r="F5" s="779">
        <v>2.61</v>
      </c>
      <c r="G5" s="153">
        <v>44133</v>
      </c>
      <c r="H5" s="56"/>
      <c r="I5" s="59"/>
      <c r="J5" s="63"/>
      <c r="K5" s="703"/>
      <c r="L5" s="179"/>
      <c r="M5" s="69"/>
      <c r="N5" s="879"/>
      <c r="O5" s="80"/>
      <c r="P5" s="84"/>
      <c r="Q5" s="87"/>
      <c r="R5" s="185"/>
      <c r="S5" s="90"/>
      <c r="T5" s="752"/>
    </row>
    <row r="6" spans="1:20" x14ac:dyDescent="0.25">
      <c r="B6" s="41" t="s">
        <v>350</v>
      </c>
      <c r="C6" s="9" t="s">
        <v>4</v>
      </c>
      <c r="D6" s="922">
        <v>2.0099999999999998</v>
      </c>
      <c r="E6" s="733" cm="1">
        <f t="array" aca="1" ref="E6" ca="1">INDIRECT(ADDRESS(ROW(),MATCH(MAX(G6,I6,K6,M6,O6,Q6,S6),F6:S6,0)-1+COLUMNS(A6:E6),4))</f>
        <v>4.5</v>
      </c>
      <c r="F6" s="780">
        <v>5.5</v>
      </c>
      <c r="G6" s="613">
        <v>44705</v>
      </c>
      <c r="H6" s="56">
        <v>4.5</v>
      </c>
      <c r="I6" s="59">
        <v>44741</v>
      </c>
      <c r="J6" s="63"/>
      <c r="K6" s="703"/>
      <c r="L6" s="70"/>
      <c r="M6" s="73"/>
      <c r="N6" s="879"/>
      <c r="O6" s="80"/>
      <c r="P6" s="84"/>
      <c r="Q6" s="87"/>
      <c r="R6" s="91"/>
      <c r="S6" s="94"/>
      <c r="T6" s="752"/>
    </row>
    <row r="7" spans="1:20" x14ac:dyDescent="0.25">
      <c r="B7" s="41" t="s">
        <v>369</v>
      </c>
      <c r="C7" s="9" t="s">
        <v>4</v>
      </c>
      <c r="D7" s="922">
        <v>1.766</v>
      </c>
      <c r="E7" s="733" cm="1">
        <f t="array" aca="1" ref="E7" ca="1">INDIRECT(ADDRESS(ROW(),MATCH(MAX(G7,I7,K7,M7,O7,Q7,S7),F7:S7,0)-1+COLUMNS(A7:E7),4))</f>
        <v>10</v>
      </c>
      <c r="F7" s="780">
        <v>10</v>
      </c>
      <c r="G7" s="613">
        <v>44741</v>
      </c>
      <c r="H7" s="56"/>
      <c r="I7" s="59"/>
      <c r="J7" s="63"/>
      <c r="K7" s="703"/>
      <c r="L7" s="70"/>
      <c r="M7" s="73"/>
      <c r="N7" s="879"/>
      <c r="O7" s="80"/>
      <c r="P7" s="84"/>
      <c r="Q7" s="87"/>
      <c r="R7" s="91"/>
      <c r="S7" s="94"/>
      <c r="T7" s="752"/>
    </row>
    <row r="8" spans="1:20" x14ac:dyDescent="0.25">
      <c r="A8" t="s">
        <v>465</v>
      </c>
      <c r="B8" s="41" t="s">
        <v>159</v>
      </c>
      <c r="C8" s="8" t="s">
        <v>4</v>
      </c>
      <c r="D8" s="923">
        <v>1.5389999999999999</v>
      </c>
      <c r="E8" s="733" cm="1">
        <f t="array" aca="1" ref="E8" ca="1">INDIRECT(ADDRESS(ROW(),MATCH(MAX(G8,I8,K8,M8,O8,Q8,S8),F8:S8,0)-1+COLUMNS(A8:E8),4))</f>
        <v>12.24</v>
      </c>
      <c r="F8" s="766">
        <v>2.61</v>
      </c>
      <c r="G8" s="102">
        <v>44334</v>
      </c>
      <c r="H8" s="56">
        <v>6.5</v>
      </c>
      <c r="I8" s="59">
        <v>44683</v>
      </c>
      <c r="J8" s="63">
        <v>7.5</v>
      </c>
      <c r="K8" s="703">
        <v>44930</v>
      </c>
      <c r="L8" s="70">
        <v>12.24</v>
      </c>
      <c r="M8" s="73">
        <v>45055</v>
      </c>
      <c r="N8" s="879"/>
      <c r="O8" s="80"/>
      <c r="P8" s="84"/>
      <c r="Q8" s="87"/>
      <c r="R8" s="91"/>
      <c r="S8" s="94"/>
      <c r="T8" s="752"/>
    </row>
    <row r="9" spans="1:20" x14ac:dyDescent="0.25">
      <c r="A9" t="s">
        <v>479</v>
      </c>
      <c r="B9" s="41" t="s">
        <v>80</v>
      </c>
      <c r="C9" s="8" t="s">
        <v>4</v>
      </c>
      <c r="D9" s="923">
        <v>1.5389999999999999</v>
      </c>
      <c r="E9" s="733" cm="1">
        <f t="array" aca="1" ref="E9" ca="1">INDIRECT(ADDRESS(ROW(),MATCH(MAX(G9,I9,K9,M9,O9,Q9,S9),F9:S9,0)-1+COLUMNS(A9:E9),4))</f>
        <v>4.17</v>
      </c>
      <c r="F9" s="766">
        <v>2.61</v>
      </c>
      <c r="G9" s="102">
        <v>44133</v>
      </c>
      <c r="H9" s="56">
        <v>4.5</v>
      </c>
      <c r="I9" s="59">
        <v>44741</v>
      </c>
      <c r="J9" s="63">
        <v>4.5999999999999996</v>
      </c>
      <c r="K9" s="703">
        <v>44853</v>
      </c>
      <c r="L9" s="70">
        <v>4.5599999999999996</v>
      </c>
      <c r="M9" s="73">
        <v>44930</v>
      </c>
      <c r="N9" s="879">
        <v>4.46</v>
      </c>
      <c r="O9" s="80">
        <v>45034</v>
      </c>
      <c r="P9" s="84">
        <v>4.17</v>
      </c>
      <c r="Q9" s="87">
        <v>45085</v>
      </c>
      <c r="R9" s="91"/>
      <c r="S9" s="94"/>
      <c r="T9" s="752"/>
    </row>
    <row r="10" spans="1:20" x14ac:dyDescent="0.25">
      <c r="B10" s="41" t="s">
        <v>258</v>
      </c>
      <c r="C10" s="8" t="s">
        <v>4</v>
      </c>
      <c r="D10" s="923">
        <v>1.1299999999999999</v>
      </c>
      <c r="E10" s="733" cm="1">
        <f t="array" aca="1" ref="E10" ca="1">INDIRECT(ADDRESS(ROW(),MATCH(MAX(G10,I10,K10,M10,O10,Q10,S10),F10:S10,0)-1+COLUMNS(A10:E10),4))</f>
        <v>4</v>
      </c>
      <c r="F10" s="766">
        <v>4</v>
      </c>
      <c r="G10" s="156">
        <v>44480</v>
      </c>
      <c r="H10" s="401"/>
      <c r="I10" s="447"/>
      <c r="J10" s="494"/>
      <c r="K10" s="877"/>
      <c r="L10" s="70"/>
      <c r="M10" s="73"/>
      <c r="N10" s="878"/>
      <c r="O10" s="499"/>
      <c r="P10" s="500"/>
      <c r="Q10" s="501"/>
      <c r="R10" s="502"/>
      <c r="S10" s="503"/>
      <c r="T10" s="752"/>
    </row>
    <row r="11" spans="1:20" x14ac:dyDescent="0.25">
      <c r="B11" s="41" t="s">
        <v>258</v>
      </c>
      <c r="C11" s="8" t="s">
        <v>4</v>
      </c>
      <c r="D11" s="923">
        <v>1.1299999999999999</v>
      </c>
      <c r="E11" s="733" cm="1">
        <f t="array" aca="1" ref="E11" ca="1">INDIRECT(ADDRESS(ROW(),MATCH(MAX(G11,I11,K11,M11,O11,Q11,S11),F11:S11,0)-1+COLUMNS(A11:E11),4))</f>
        <v>7.14</v>
      </c>
      <c r="F11" s="766">
        <v>7.14</v>
      </c>
      <c r="G11" s="156">
        <v>45007</v>
      </c>
      <c r="H11" s="401"/>
      <c r="I11" s="447"/>
      <c r="J11" s="494"/>
      <c r="K11" s="877"/>
      <c r="L11" s="70"/>
      <c r="M11" s="73"/>
      <c r="N11" s="878"/>
      <c r="O11" s="499"/>
      <c r="P11" s="500"/>
      <c r="Q11" s="501"/>
      <c r="R11" s="502"/>
      <c r="S11" s="503"/>
      <c r="T11" s="752"/>
    </row>
    <row r="12" spans="1:20" ht="15.75" thickBot="1" x14ac:dyDescent="0.3">
      <c r="B12" s="4" t="s">
        <v>170</v>
      </c>
      <c r="C12" s="16" t="s">
        <v>4</v>
      </c>
      <c r="D12" s="924">
        <v>0.78500000000000003</v>
      </c>
      <c r="E12" s="734" cm="1">
        <f t="array" aca="1" ref="E12" ca="1">INDIRECT(ADDRESS(ROW(),MATCH(MAX(G12,I12,K12,M12,O12,Q12,S12),F12:S12,0)-1+COLUMNS(A12:E12),4))</f>
        <v>4.55</v>
      </c>
      <c r="F12" s="768">
        <v>5.95</v>
      </c>
      <c r="G12" s="154">
        <v>44683</v>
      </c>
      <c r="H12" s="142">
        <v>5</v>
      </c>
      <c r="I12" s="60">
        <v>44726</v>
      </c>
      <c r="J12" s="143">
        <v>5.7</v>
      </c>
      <c r="K12" s="67">
        <v>44790</v>
      </c>
      <c r="L12" s="490">
        <v>4.7</v>
      </c>
      <c r="M12" s="491">
        <v>44848</v>
      </c>
      <c r="N12" s="145">
        <v>6</v>
      </c>
      <c r="O12" s="81">
        <v>44853</v>
      </c>
      <c r="P12" s="146">
        <v>6.3</v>
      </c>
      <c r="Q12" s="88">
        <v>44930</v>
      </c>
      <c r="R12" s="147">
        <v>4.55</v>
      </c>
      <c r="S12" s="96">
        <v>45049</v>
      </c>
      <c r="T12" s="752"/>
    </row>
    <row r="13" spans="1:20" ht="15.75" thickBot="1" x14ac:dyDescent="0.3"/>
    <row r="14" spans="1:20" ht="15.75" thickBot="1" x14ac:dyDescent="0.3">
      <c r="B14" s="866"/>
      <c r="C14" s="867"/>
      <c r="D14" s="860" t="s">
        <v>432</v>
      </c>
      <c r="E14" s="861" t="s">
        <v>29</v>
      </c>
      <c r="F14" s="861" t="s">
        <v>426</v>
      </c>
      <c r="G14" s="861" t="s">
        <v>427</v>
      </c>
      <c r="H14" s="862" t="s">
        <v>428</v>
      </c>
      <c r="I14" s="863" t="s">
        <v>429</v>
      </c>
      <c r="J14" s="863" t="s">
        <v>430</v>
      </c>
    </row>
    <row r="15" spans="1:20" ht="16.5" thickBot="1" x14ac:dyDescent="0.3">
      <c r="B15" s="935" t="s">
        <v>424</v>
      </c>
      <c r="C15" s="936"/>
      <c r="D15" s="865" t="s">
        <v>464</v>
      </c>
      <c r="E15" s="695" t="s">
        <v>4</v>
      </c>
      <c r="F15" s="890">
        <f>I15*1.08</f>
        <v>22.911326927999998</v>
      </c>
      <c r="G15" s="859">
        <v>4.17</v>
      </c>
      <c r="H15" s="864">
        <f>G15*F15</f>
        <v>95.540233289759982</v>
      </c>
      <c r="I15" s="864">
        <f>(1.91*6+0.0894*26)*1.539</f>
        <v>21.214191599999996</v>
      </c>
      <c r="J15" s="864">
        <f>0.056*(1.91*6+0.0894*26)+(0.014*0.014)*2*32</f>
        <v>0.7844703999999999</v>
      </c>
    </row>
  </sheetData>
  <mergeCells count="11">
    <mergeCell ref="B15:C15"/>
    <mergeCell ref="B2:D2"/>
    <mergeCell ref="B3:B4"/>
    <mergeCell ref="C3:C4"/>
    <mergeCell ref="G3:G4"/>
    <mergeCell ref="S3:S4"/>
    <mergeCell ref="I3:I4"/>
    <mergeCell ref="K3:K4"/>
    <mergeCell ref="M3:M4"/>
    <mergeCell ref="O3:O4"/>
    <mergeCell ref="Q3:Q4"/>
  </mergeCells>
  <hyperlinks>
    <hyperlink ref="A1" location="CUPRINS!A1" display="CUPRINS" xr:uid="{AA80B339-35A5-4307-A8DF-DF8E86A9541B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86F5-8280-4E4F-A2F6-9B80FB36D32D}">
  <sheetPr codeName="Sheet12"/>
  <dimension ref="A1:U25"/>
  <sheetViews>
    <sheetView workbookViewId="0"/>
  </sheetViews>
  <sheetFormatPr defaultRowHeight="15" x14ac:dyDescent="0.25"/>
  <cols>
    <col min="1" max="1" width="8.5703125" customWidth="1"/>
    <col min="2" max="2" width="15.5703125" customWidth="1"/>
    <col min="4" max="5" width="23.7109375" customWidth="1"/>
    <col min="6" max="6" width="19.28515625" customWidth="1"/>
    <col min="7" max="7" width="14.42578125" customWidth="1"/>
    <col min="8" max="8" width="14.5703125" customWidth="1"/>
    <col min="9" max="9" width="15.140625" customWidth="1"/>
    <col min="10" max="10" width="11.28515625" customWidth="1"/>
    <col min="11" max="12" width="16" customWidth="1"/>
    <col min="13" max="13" width="16.42578125" customWidth="1"/>
    <col min="14" max="14" width="15.28515625" customWidth="1"/>
    <col min="15" max="15" width="17.5703125" customWidth="1"/>
    <col min="16" max="16" width="15.140625" customWidth="1"/>
    <col min="17" max="17" width="15.28515625" customWidth="1"/>
    <col min="18" max="18" width="12.85546875" customWidth="1"/>
    <col min="19" max="19" width="15.28515625" customWidth="1"/>
    <col min="20" max="20" width="19.5703125" customWidth="1"/>
    <col min="21" max="21" width="22.42578125" customWidth="1"/>
  </cols>
  <sheetData>
    <row r="1" spans="1:21" ht="15.75" thickBot="1" x14ac:dyDescent="0.3">
      <c r="A1" s="445" t="s">
        <v>199</v>
      </c>
    </row>
    <row r="2" spans="1:21" ht="16.5" thickBot="1" x14ac:dyDescent="0.3">
      <c r="B2" s="937" t="s">
        <v>222</v>
      </c>
      <c r="C2" s="938"/>
      <c r="D2" s="939"/>
      <c r="E2" s="770"/>
      <c r="F2" s="101"/>
      <c r="G2" s="101"/>
    </row>
    <row r="3" spans="1:21" x14ac:dyDescent="0.25">
      <c r="B3" s="946" t="s">
        <v>28</v>
      </c>
      <c r="C3" s="948" t="s">
        <v>29</v>
      </c>
      <c r="D3" s="105" t="s">
        <v>176</v>
      </c>
      <c r="E3" s="105" t="s">
        <v>418</v>
      </c>
      <c r="F3" s="122" t="s">
        <v>178</v>
      </c>
      <c r="G3" s="940" t="s">
        <v>39</v>
      </c>
      <c r="H3" s="126" t="s">
        <v>178</v>
      </c>
      <c r="I3" s="942" t="s">
        <v>39</v>
      </c>
      <c r="J3" s="130" t="s">
        <v>178</v>
      </c>
      <c r="K3" s="944" t="s">
        <v>39</v>
      </c>
      <c r="L3" s="132" t="s">
        <v>178</v>
      </c>
      <c r="M3" s="931" t="s">
        <v>39</v>
      </c>
      <c r="N3" s="134" t="s">
        <v>178</v>
      </c>
      <c r="O3" s="929" t="s">
        <v>39</v>
      </c>
      <c r="P3" s="136" t="s">
        <v>178</v>
      </c>
      <c r="Q3" s="927" t="s">
        <v>39</v>
      </c>
      <c r="R3" s="138" t="s">
        <v>178</v>
      </c>
      <c r="S3" s="933" t="s">
        <v>39</v>
      </c>
    </row>
    <row r="4" spans="1:21" ht="15.75" thickBot="1" x14ac:dyDescent="0.3">
      <c r="B4" s="954"/>
      <c r="C4" s="955"/>
      <c r="D4" s="150" t="s">
        <v>398</v>
      </c>
      <c r="E4" s="150" t="s">
        <v>419</v>
      </c>
      <c r="F4" s="123" t="s">
        <v>179</v>
      </c>
      <c r="G4" s="941"/>
      <c r="H4" s="127" t="s">
        <v>179</v>
      </c>
      <c r="I4" s="943"/>
      <c r="J4" s="131" t="s">
        <v>179</v>
      </c>
      <c r="K4" s="945"/>
      <c r="L4" s="133" t="s">
        <v>179</v>
      </c>
      <c r="M4" s="932"/>
      <c r="N4" s="135" t="s">
        <v>179</v>
      </c>
      <c r="O4" s="930"/>
      <c r="P4" s="137" t="s">
        <v>179</v>
      </c>
      <c r="Q4" s="928"/>
      <c r="R4" s="139" t="s">
        <v>179</v>
      </c>
      <c r="S4" s="934"/>
      <c r="T4" s="441"/>
    </row>
    <row r="5" spans="1:21" x14ac:dyDescent="0.25">
      <c r="B5" s="41" t="s">
        <v>129</v>
      </c>
      <c r="C5" s="22" t="s">
        <v>41</v>
      </c>
      <c r="D5" s="430"/>
      <c r="E5" s="375" cm="1">
        <f t="array" aca="1" ref="E5" ca="1">INDIRECT(ADDRESS(ROW(),MATCH(MAX(G5,I5,K5,M5,O5,Q5,S5),F5:S5,0)-1+COLUMNS(A5:E5),4))</f>
        <v>10</v>
      </c>
      <c r="F5" s="779">
        <v>10</v>
      </c>
      <c r="G5" s="282">
        <v>44235</v>
      </c>
      <c r="H5" s="350"/>
      <c r="I5" s="55"/>
      <c r="J5" s="61"/>
      <c r="K5" s="62"/>
      <c r="L5" s="68"/>
      <c r="M5" s="69"/>
      <c r="N5" s="75"/>
      <c r="O5" s="76"/>
      <c r="P5" s="82"/>
      <c r="Q5" s="83"/>
      <c r="R5" s="89"/>
      <c r="S5" s="90"/>
      <c r="T5" s="752"/>
    </row>
    <row r="6" spans="1:21" x14ac:dyDescent="0.25">
      <c r="B6" s="41" t="s">
        <v>318</v>
      </c>
      <c r="C6" s="8" t="s">
        <v>41</v>
      </c>
      <c r="D6" s="431">
        <v>0.27</v>
      </c>
      <c r="E6" s="279" cm="1">
        <f t="array" aca="1" ref="E6" ca="1">INDIRECT(ADDRESS(ROW(),MATCH(MAX(G6,I6,K6,M6,O6,Q6,S6),F6:S6,0)-1+COLUMNS(A6:E6),4))</f>
        <v>10.5</v>
      </c>
      <c r="F6" s="766">
        <v>6.4</v>
      </c>
      <c r="G6" s="156">
        <v>44130</v>
      </c>
      <c r="H6" s="56">
        <v>8.5</v>
      </c>
      <c r="I6" s="447">
        <v>44425</v>
      </c>
      <c r="J6" s="63">
        <v>9</v>
      </c>
      <c r="K6" s="495">
        <v>44581</v>
      </c>
      <c r="L6" s="70">
        <v>8.74</v>
      </c>
      <c r="M6" s="497">
        <v>44684</v>
      </c>
      <c r="N6" s="77">
        <v>10.5</v>
      </c>
      <c r="O6" s="499">
        <v>44806</v>
      </c>
      <c r="P6" s="84"/>
      <c r="Q6" s="85"/>
      <c r="R6" s="91"/>
      <c r="S6" s="92"/>
      <c r="T6" s="752"/>
    </row>
    <row r="7" spans="1:21" x14ac:dyDescent="0.25">
      <c r="B7" s="12" t="s">
        <v>126</v>
      </c>
      <c r="C7" s="33" t="s">
        <v>41</v>
      </c>
      <c r="D7" s="738">
        <v>0.15</v>
      </c>
      <c r="E7" s="279" cm="1">
        <f t="array" aca="1" ref="E7" ca="1">INDIRECT(ADDRESS(ROW(),MATCH(MAX(G7,I7,K7,M7,O7,Q7,S7),F7:S7,0)-1+COLUMNS(A7:E7),4))</f>
        <v>7.6</v>
      </c>
      <c r="F7" s="773">
        <v>6.4</v>
      </c>
      <c r="G7" s="173">
        <v>44497</v>
      </c>
      <c r="H7" s="399">
        <v>7.4</v>
      </c>
      <c r="I7" s="59">
        <v>44644</v>
      </c>
      <c r="J7" s="448">
        <v>8</v>
      </c>
      <c r="K7" s="66">
        <v>44700</v>
      </c>
      <c r="L7" s="72">
        <v>7.4</v>
      </c>
      <c r="M7" s="73">
        <v>44911</v>
      </c>
      <c r="N7" s="79">
        <v>8.1999999999999993</v>
      </c>
      <c r="O7" s="80">
        <v>44977</v>
      </c>
      <c r="P7" s="86">
        <v>7.5</v>
      </c>
      <c r="Q7" s="87">
        <v>44984</v>
      </c>
      <c r="R7" s="93">
        <v>7.6</v>
      </c>
      <c r="S7" s="94">
        <v>45154</v>
      </c>
      <c r="T7" s="752"/>
    </row>
    <row r="8" spans="1:21" ht="15.75" thickBot="1" x14ac:dyDescent="0.3">
      <c r="B8" s="19" t="s">
        <v>324</v>
      </c>
      <c r="C8" s="20" t="s">
        <v>41</v>
      </c>
      <c r="D8" s="735"/>
      <c r="E8" s="757" cm="1">
        <f t="array" aca="1" ref="E8" ca="1">INDIRECT(ADDRESS(ROW(),MATCH(MAX(G8,I8,K8,M8,O8,Q8,S8),F8:S8,0)-1+COLUMNS(A8:E8),4))</f>
        <v>4.9000000000000004</v>
      </c>
      <c r="F8" s="781">
        <v>4.9000000000000004</v>
      </c>
      <c r="G8" s="736">
        <v>44631</v>
      </c>
      <c r="H8" s="737"/>
      <c r="I8" s="489"/>
      <c r="J8" s="392"/>
      <c r="K8" s="360"/>
      <c r="L8" s="525"/>
      <c r="M8" s="491"/>
      <c r="N8" s="393"/>
      <c r="O8" s="362"/>
      <c r="P8" s="526"/>
      <c r="Q8" s="493"/>
      <c r="R8" s="394"/>
      <c r="S8" s="363"/>
      <c r="T8" s="752"/>
    </row>
    <row r="11" spans="1:21" x14ac:dyDescent="0.25">
      <c r="D11" t="s">
        <v>397</v>
      </c>
    </row>
    <row r="12" spans="1:21" ht="15.75" thickBot="1" x14ac:dyDescent="0.3"/>
    <row r="13" spans="1:21" ht="16.5" thickBot="1" x14ac:dyDescent="0.3">
      <c r="B13" s="937" t="s">
        <v>238</v>
      </c>
      <c r="C13" s="938"/>
      <c r="D13" s="939"/>
      <c r="E13" s="770"/>
      <c r="F13" s="101"/>
      <c r="G13" s="101"/>
    </row>
    <row r="14" spans="1:21" x14ac:dyDescent="0.25">
      <c r="B14" s="946" t="s">
        <v>28</v>
      </c>
      <c r="C14" s="948" t="s">
        <v>29</v>
      </c>
      <c r="D14" s="105" t="s">
        <v>176</v>
      </c>
      <c r="E14" s="277" t="s">
        <v>133</v>
      </c>
      <c r="F14" s="769" t="s">
        <v>418</v>
      </c>
      <c r="G14" s="161" t="s">
        <v>178</v>
      </c>
      <c r="H14" s="161" t="s">
        <v>39</v>
      </c>
      <c r="I14" s="126" t="s">
        <v>178</v>
      </c>
      <c r="J14" s="162" t="s">
        <v>39</v>
      </c>
      <c r="K14" s="130" t="s">
        <v>178</v>
      </c>
      <c r="L14" s="124" t="s">
        <v>39</v>
      </c>
      <c r="M14" s="132" t="s">
        <v>178</v>
      </c>
      <c r="N14" s="128" t="s">
        <v>39</v>
      </c>
      <c r="O14" s="134" t="s">
        <v>178</v>
      </c>
      <c r="P14" s="163" t="s">
        <v>39</v>
      </c>
      <c r="Q14" s="136" t="s">
        <v>178</v>
      </c>
      <c r="R14" s="164" t="s">
        <v>39</v>
      </c>
      <c r="S14" s="138" t="s">
        <v>178</v>
      </c>
      <c r="T14" s="165" t="s">
        <v>39</v>
      </c>
    </row>
    <row r="15" spans="1:21" ht="15.75" thickBot="1" x14ac:dyDescent="0.3">
      <c r="B15" s="947"/>
      <c r="C15" s="949"/>
      <c r="D15" s="52" t="s">
        <v>175</v>
      </c>
      <c r="E15" s="278"/>
      <c r="F15" s="788" t="s">
        <v>419</v>
      </c>
      <c r="G15" s="166" t="s">
        <v>179</v>
      </c>
      <c r="H15" s="166"/>
      <c r="I15" s="127" t="s">
        <v>179</v>
      </c>
      <c r="J15" s="167"/>
      <c r="K15" s="131" t="s">
        <v>179</v>
      </c>
      <c r="L15" s="125"/>
      <c r="M15" s="133" t="s">
        <v>179</v>
      </c>
      <c r="N15" s="129"/>
      <c r="O15" s="135" t="s">
        <v>179</v>
      </c>
      <c r="P15" s="168"/>
      <c r="Q15" s="137" t="s">
        <v>179</v>
      </c>
      <c r="R15" s="169"/>
      <c r="S15" s="139" t="s">
        <v>179</v>
      </c>
      <c r="T15" s="170"/>
      <c r="U15" s="441"/>
    </row>
    <row r="16" spans="1:21" x14ac:dyDescent="0.25">
      <c r="B16" s="48" t="s">
        <v>155</v>
      </c>
      <c r="C16" s="428" t="s">
        <v>41</v>
      </c>
      <c r="D16" s="429"/>
      <c r="E16" s="786"/>
      <c r="F16" s="375" cm="1">
        <f t="array" aca="1" ref="F16" ca="1">INDIRECT(ADDRESS(ROW(),MATCH(MAX(H16,J16,L16,N16,P16,R16,T16),G16:T16,0)-1+COLUMNS(A16:F16),4))</f>
        <v>16</v>
      </c>
      <c r="G16" s="779">
        <v>16</v>
      </c>
      <c r="H16" s="282">
        <v>44140</v>
      </c>
      <c r="I16" s="175"/>
      <c r="J16" s="55"/>
      <c r="K16" s="177"/>
      <c r="L16" s="62"/>
      <c r="M16" s="364"/>
      <c r="N16" s="366"/>
      <c r="O16" s="181"/>
      <c r="P16" s="76"/>
      <c r="Q16" s="368"/>
      <c r="R16" s="370"/>
      <c r="S16" s="185"/>
      <c r="T16" s="90"/>
      <c r="U16" s="752"/>
    </row>
    <row r="17" spans="2:21" x14ac:dyDescent="0.25">
      <c r="B17" s="41" t="s">
        <v>156</v>
      </c>
      <c r="C17" s="22" t="s">
        <v>41</v>
      </c>
      <c r="D17" s="42"/>
      <c r="E17" s="749"/>
      <c r="F17" s="279" cm="1">
        <f t="array" aca="1" ref="F17" ca="1">INDIRECT(ADDRESS(ROW(),MATCH(MAX(H17,J17,L17,N17,P17,R17,T17),G17:T17,0)-1+COLUMNS(A17:F17),4))</f>
        <v>10</v>
      </c>
      <c r="G17" s="766">
        <v>10</v>
      </c>
      <c r="H17" s="156">
        <v>44141</v>
      </c>
      <c r="I17" s="56"/>
      <c r="J17" s="59"/>
      <c r="K17" s="63"/>
      <c r="L17" s="66"/>
      <c r="M17" s="364"/>
      <c r="N17" s="366"/>
      <c r="O17" s="77"/>
      <c r="P17" s="80"/>
      <c r="Q17" s="368"/>
      <c r="R17" s="370"/>
      <c r="S17" s="91"/>
      <c r="T17" s="94"/>
      <c r="U17" s="752"/>
    </row>
    <row r="18" spans="2:21" x14ac:dyDescent="0.25">
      <c r="B18" s="41" t="s">
        <v>154</v>
      </c>
      <c r="C18" s="22" t="s">
        <v>41</v>
      </c>
      <c r="D18" s="42">
        <v>0.27</v>
      </c>
      <c r="E18" s="749"/>
      <c r="F18" s="279" cm="1">
        <f t="array" aca="1" ref="F18" ca="1">INDIRECT(ADDRESS(ROW(),MATCH(MAX(H18,J18,L18,N18,P18,R18,T18),G18:T18,0)-1+COLUMNS(A18:F18),4))</f>
        <v>9</v>
      </c>
      <c r="G18" s="766">
        <v>9</v>
      </c>
      <c r="H18" s="156">
        <v>44364</v>
      </c>
      <c r="I18" s="56"/>
      <c r="J18" s="59"/>
      <c r="K18" s="63"/>
      <c r="L18" s="66"/>
      <c r="M18" s="364"/>
      <c r="N18" s="366"/>
      <c r="O18" s="77"/>
      <c r="P18" s="80"/>
      <c r="Q18" s="368"/>
      <c r="R18" s="370"/>
      <c r="S18" s="91"/>
      <c r="T18" s="94"/>
      <c r="U18" s="752"/>
    </row>
    <row r="19" spans="2:21" x14ac:dyDescent="0.25">
      <c r="B19" s="956" t="s">
        <v>345</v>
      </c>
      <c r="C19" s="958" t="s">
        <v>41</v>
      </c>
      <c r="D19" s="960">
        <v>0.15</v>
      </c>
      <c r="E19" s="782" t="s">
        <v>138</v>
      </c>
      <c r="F19" s="733" cm="1">
        <f t="array" aca="1" ref="F19" ca="1">INDIRECT(ADDRESS(ROW(),MATCH(MAX(H19,J19,L19,N19,P19,R19,T19),G19:T19,0)-1+COLUMNS(A19:F19),4))</f>
        <v>22.132000000000001</v>
      </c>
      <c r="G19" s="773">
        <v>26.2</v>
      </c>
      <c r="H19" s="172" t="s">
        <v>62</v>
      </c>
      <c r="I19" s="351">
        <f>4.4*Euro!B3</f>
        <v>22.132000000000001</v>
      </c>
      <c r="J19" s="59">
        <v>44382</v>
      </c>
      <c r="K19" s="63"/>
      <c r="L19" s="66"/>
      <c r="M19" s="364"/>
      <c r="N19" s="366"/>
      <c r="O19" s="77"/>
      <c r="P19" s="80"/>
      <c r="Q19" s="368"/>
      <c r="R19" s="370"/>
      <c r="S19" s="91"/>
      <c r="T19" s="94"/>
      <c r="U19" s="752"/>
    </row>
    <row r="20" spans="2:21" x14ac:dyDescent="0.25">
      <c r="B20" s="957"/>
      <c r="C20" s="959"/>
      <c r="D20" s="961"/>
      <c r="E20" s="782" t="s">
        <v>139</v>
      </c>
      <c r="F20" s="279" cm="1">
        <f t="array" aca="1" ref="F20" ca="1">INDIRECT(ADDRESS(ROW(),MATCH(MAX(H20,J20,L20,N20,P20,R20,T20),G20:T20,0)-1+COLUMNS(A20:F20),4))</f>
        <v>17</v>
      </c>
      <c r="G20" s="789">
        <f>2.1*Euro!B3</f>
        <v>10.563000000000001</v>
      </c>
      <c r="H20" s="172" t="s">
        <v>137</v>
      </c>
      <c r="I20" s="56">
        <v>17</v>
      </c>
      <c r="J20" s="59">
        <v>44700</v>
      </c>
      <c r="K20" s="63">
        <f>3.4*Euro!B3</f>
        <v>17.102</v>
      </c>
      <c r="L20" s="66">
        <v>44732</v>
      </c>
      <c r="M20" s="364">
        <v>17</v>
      </c>
      <c r="N20" s="366">
        <v>44932</v>
      </c>
      <c r="O20" s="77"/>
      <c r="P20" s="80"/>
      <c r="Q20" s="368"/>
      <c r="R20" s="370"/>
      <c r="S20" s="91"/>
      <c r="T20" s="94"/>
      <c r="U20" s="752"/>
    </row>
    <row r="21" spans="2:21" x14ac:dyDescent="0.25">
      <c r="B21" s="962" t="s">
        <v>14</v>
      </c>
      <c r="C21" s="964" t="s">
        <v>41</v>
      </c>
      <c r="D21" s="960">
        <v>0.02</v>
      </c>
      <c r="E21" s="783" t="s">
        <v>138</v>
      </c>
      <c r="F21" s="765" cm="1">
        <f t="array" aca="1" ref="F21" ca="1">INDIRECT(ADDRESS(ROW(),MATCH(MAX(H21,J21,L21,N21,P21,R21,T21),G21:T21,0)-1+COLUMNS(A21:F21),4))</f>
        <v>10.06</v>
      </c>
      <c r="G21" s="785">
        <v>9.3000000000000007</v>
      </c>
      <c r="H21" s="174">
        <v>44120</v>
      </c>
      <c r="I21" s="351">
        <f>2*Euro!B3</f>
        <v>10.06</v>
      </c>
      <c r="J21" s="59">
        <v>44897</v>
      </c>
      <c r="K21" s="63"/>
      <c r="L21" s="66"/>
      <c r="M21" s="364"/>
      <c r="N21" s="366"/>
      <c r="O21" s="77"/>
      <c r="P21" s="80"/>
      <c r="Q21" s="368"/>
      <c r="R21" s="370"/>
      <c r="S21" s="91"/>
      <c r="T21" s="94"/>
      <c r="U21" s="752"/>
    </row>
    <row r="22" spans="2:21" ht="15.75" thickBot="1" x14ac:dyDescent="0.3">
      <c r="B22" s="963"/>
      <c r="C22" s="965"/>
      <c r="D22" s="966"/>
      <c r="E22" s="784" t="s">
        <v>139</v>
      </c>
      <c r="F22" s="787" cm="1">
        <f t="array" aca="1" ref="F22" ca="1">INDIRECT(ADDRESS(ROW(),MATCH(MAX(H22,J22,L22,N22,P22,R22,T22),G22:T22,0)-1+COLUMNS(A22:F22),4))</f>
        <v>11.568999999999999</v>
      </c>
      <c r="G22" s="790">
        <f>2.3*Euro!B3</f>
        <v>11.568999999999999</v>
      </c>
      <c r="H22" s="195">
        <v>44382</v>
      </c>
      <c r="I22" s="374"/>
      <c r="J22" s="60"/>
      <c r="K22" s="359"/>
      <c r="L22" s="360"/>
      <c r="M22" s="365"/>
      <c r="N22" s="367"/>
      <c r="O22" s="361"/>
      <c r="P22" s="362"/>
      <c r="Q22" s="369"/>
      <c r="R22" s="371"/>
      <c r="S22" s="95"/>
      <c r="T22" s="363"/>
      <c r="U22" s="752"/>
    </row>
    <row r="23" spans="2:21" x14ac:dyDescent="0.25">
      <c r="I23" s="43"/>
      <c r="J23" s="141"/>
      <c r="K23" s="43"/>
      <c r="L23" s="141"/>
      <c r="M23" s="43"/>
      <c r="N23" s="141"/>
      <c r="O23" s="43"/>
      <c r="P23" s="141"/>
      <c r="Q23" s="43"/>
      <c r="R23" s="141"/>
      <c r="S23" s="43"/>
      <c r="T23" s="141"/>
    </row>
    <row r="24" spans="2:21" x14ac:dyDescent="0.25">
      <c r="I24" s="43"/>
      <c r="J24" s="141"/>
      <c r="K24" s="43"/>
      <c r="L24" s="141"/>
      <c r="M24" s="43"/>
      <c r="N24" s="141"/>
      <c r="O24" s="43"/>
      <c r="P24" s="141"/>
      <c r="Q24" s="43"/>
      <c r="R24" s="141"/>
      <c r="S24" s="43"/>
      <c r="T24" s="141"/>
    </row>
    <row r="25" spans="2:21" x14ac:dyDescent="0.25">
      <c r="I25" s="43"/>
      <c r="J25" s="141"/>
      <c r="K25" s="43"/>
      <c r="L25" s="141"/>
      <c r="M25" s="43"/>
      <c r="N25" s="141"/>
      <c r="O25" s="43"/>
      <c r="P25" s="141"/>
      <c r="Q25" s="43"/>
      <c r="R25" s="141"/>
      <c r="S25" s="43"/>
      <c r="T25" s="141"/>
    </row>
  </sheetData>
  <mergeCells count="19">
    <mergeCell ref="B19:B20"/>
    <mergeCell ref="C19:C20"/>
    <mergeCell ref="D19:D20"/>
    <mergeCell ref="B21:B22"/>
    <mergeCell ref="C21:C22"/>
    <mergeCell ref="D21:D22"/>
    <mergeCell ref="B2:D2"/>
    <mergeCell ref="K3:K4"/>
    <mergeCell ref="M3:M4"/>
    <mergeCell ref="O3:O4"/>
    <mergeCell ref="Q3:Q4"/>
    <mergeCell ref="S3:S4"/>
    <mergeCell ref="B13:D13"/>
    <mergeCell ref="B14:B15"/>
    <mergeCell ref="C14:C15"/>
    <mergeCell ref="B3:B4"/>
    <mergeCell ref="C3:C4"/>
    <mergeCell ref="G3:G4"/>
    <mergeCell ref="I3:I4"/>
  </mergeCells>
  <hyperlinks>
    <hyperlink ref="A1" location="CUPRINS!A1" display="CUPRINS" xr:uid="{6FF02557-0273-4DE9-8128-F2D5F06312CF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ACBFA-4038-4B9C-8E7C-A57EA0BB981C}">
  <sheetPr codeName="Sheet6"/>
  <dimension ref="A1:S66"/>
  <sheetViews>
    <sheetView tabSelected="1" topLeftCell="A20" workbookViewId="0">
      <selection activeCell="A46" sqref="A46:XFD46"/>
    </sheetView>
  </sheetViews>
  <sheetFormatPr defaultRowHeight="15" x14ac:dyDescent="0.25"/>
  <cols>
    <col min="2" max="2" width="16.140625" customWidth="1"/>
    <col min="3" max="3" width="9.140625" customWidth="1"/>
    <col min="4" max="4" width="19.28515625" customWidth="1"/>
    <col min="5" max="5" width="20.140625" customWidth="1"/>
    <col min="6" max="6" width="14.140625" customWidth="1"/>
    <col min="7" max="7" width="12.140625" customWidth="1"/>
    <col min="8" max="8" width="15.28515625" customWidth="1"/>
    <col min="9" max="9" width="11.140625" customWidth="1"/>
    <col min="10" max="10" width="16" customWidth="1"/>
    <col min="11" max="11" width="11.140625" customWidth="1"/>
    <col min="12" max="12" width="17" customWidth="1"/>
    <col min="13" max="13" width="13" customWidth="1"/>
    <col min="14" max="14" width="16.42578125" customWidth="1"/>
    <col min="15" max="15" width="13.5703125" customWidth="1"/>
    <col min="16" max="16" width="16.85546875" customWidth="1"/>
    <col min="17" max="17" width="15.5703125" customWidth="1"/>
    <col min="18" max="18" width="19.42578125" customWidth="1"/>
    <col min="19" max="19" width="20" customWidth="1"/>
  </cols>
  <sheetData>
    <row r="1" spans="1:18" ht="15.75" thickBot="1" x14ac:dyDescent="0.3">
      <c r="A1" s="445" t="s">
        <v>199</v>
      </c>
      <c r="D1" s="157" t="s">
        <v>94</v>
      </c>
      <c r="E1" s="158">
        <v>7850</v>
      </c>
    </row>
    <row r="2" spans="1:18" ht="15.75" thickBot="1" x14ac:dyDescent="0.3"/>
    <row r="3" spans="1:18" ht="16.5" thickBot="1" x14ac:dyDescent="0.3">
      <c r="B3" s="937" t="s">
        <v>223</v>
      </c>
      <c r="C3" s="939"/>
      <c r="D3" s="101"/>
    </row>
    <row r="4" spans="1:18" x14ac:dyDescent="0.25">
      <c r="B4" s="946" t="s">
        <v>28</v>
      </c>
      <c r="C4" s="948" t="s">
        <v>29</v>
      </c>
      <c r="D4" s="769" t="s">
        <v>418</v>
      </c>
      <c r="E4" s="122" t="s">
        <v>178</v>
      </c>
      <c r="F4" s="940" t="s">
        <v>39</v>
      </c>
      <c r="G4" s="126" t="s">
        <v>178</v>
      </c>
      <c r="H4" s="942" t="s">
        <v>39</v>
      </c>
      <c r="I4" s="130" t="s">
        <v>178</v>
      </c>
      <c r="J4" s="944" t="s">
        <v>39</v>
      </c>
      <c r="K4" s="132" t="s">
        <v>178</v>
      </c>
      <c r="L4" s="931" t="s">
        <v>39</v>
      </c>
      <c r="M4" s="134" t="s">
        <v>178</v>
      </c>
      <c r="N4" s="929" t="s">
        <v>39</v>
      </c>
      <c r="O4" s="136" t="s">
        <v>178</v>
      </c>
      <c r="P4" s="927" t="s">
        <v>39</v>
      </c>
      <c r="Q4" s="138" t="s">
        <v>178</v>
      </c>
      <c r="R4" s="933" t="s">
        <v>39</v>
      </c>
    </row>
    <row r="5" spans="1:18" ht="15.75" thickBot="1" x14ac:dyDescent="0.3">
      <c r="B5" s="947"/>
      <c r="C5" s="955"/>
      <c r="D5" s="278" t="s">
        <v>419</v>
      </c>
      <c r="E5" s="123" t="s">
        <v>179</v>
      </c>
      <c r="F5" s="941"/>
      <c r="G5" s="127" t="s">
        <v>179</v>
      </c>
      <c r="H5" s="943"/>
      <c r="I5" s="131" t="s">
        <v>179</v>
      </c>
      <c r="J5" s="945"/>
      <c r="K5" s="133" t="s">
        <v>179</v>
      </c>
      <c r="L5" s="932"/>
      <c r="M5" s="135" t="s">
        <v>179</v>
      </c>
      <c r="N5" s="930"/>
      <c r="O5" s="137" t="s">
        <v>179</v>
      </c>
      <c r="P5" s="928"/>
      <c r="Q5" s="139" t="s">
        <v>179</v>
      </c>
      <c r="R5" s="934"/>
    </row>
    <row r="6" spans="1:18" x14ac:dyDescent="0.25">
      <c r="B6" s="795" t="s">
        <v>72</v>
      </c>
      <c r="C6" s="799" t="s">
        <v>4</v>
      </c>
      <c r="D6" s="732" cm="1">
        <f t="array" aca="1" ref="D6" ca="1">INDIRECT(ADDRESS(ROW(),MATCH(MAX(F6,H6,J6,L6,N6,P6,R6),E6:R6,0)-1+COLUMNS(A6:D6),4))</f>
        <v>3.8</v>
      </c>
      <c r="E6" s="281">
        <v>3.8</v>
      </c>
      <c r="F6" s="282">
        <v>43922</v>
      </c>
      <c r="G6" s="54"/>
      <c r="H6" s="55"/>
      <c r="I6" s="61"/>
      <c r="J6" s="62"/>
      <c r="K6" s="68"/>
      <c r="L6" s="69"/>
      <c r="M6" s="75"/>
      <c r="N6" s="76"/>
      <c r="O6" s="82"/>
      <c r="P6" s="83"/>
      <c r="Q6" s="89"/>
      <c r="R6" s="90"/>
    </row>
    <row r="7" spans="1:18" x14ac:dyDescent="0.25">
      <c r="B7" s="749" t="s">
        <v>249</v>
      </c>
      <c r="C7" s="800" t="s">
        <v>4</v>
      </c>
      <c r="D7" s="801" cm="1">
        <f t="array" aca="1" ref="D7" ca="1">INDIRECT(ADDRESS(ROW(),MATCH(MAX(F7,H7,J7,L7,N7,P7,R7),E7:R7,0)-1+COLUMNS(A7:D7),4))</f>
        <v>6.8408000000000007</v>
      </c>
      <c r="E7" s="713">
        <f>1.36*Euro!B3</f>
        <v>6.8408000000000007</v>
      </c>
      <c r="F7" s="156">
        <v>44438</v>
      </c>
      <c r="G7" s="54"/>
      <c r="H7" s="319"/>
      <c r="I7" s="61"/>
      <c r="J7" s="320"/>
      <c r="K7" s="68"/>
      <c r="L7" s="321"/>
      <c r="M7" s="75"/>
      <c r="N7" s="322"/>
      <c r="O7" s="82"/>
      <c r="P7" s="323"/>
      <c r="Q7" s="89"/>
      <c r="R7" s="324"/>
    </row>
    <row r="8" spans="1:18" x14ac:dyDescent="0.25">
      <c r="B8" s="749" t="s">
        <v>6</v>
      </c>
      <c r="C8" s="800" t="s">
        <v>4</v>
      </c>
      <c r="D8" s="801" cm="1">
        <f t="array" aca="1" ref="D8" ca="1">INDIRECT(ADDRESS(ROW(),MATCH(MAX(F8,H8,J8,L8,N8,P8,R8),E8:R8,0)-1+COLUMNS(A8:D8),4))</f>
        <v>7</v>
      </c>
      <c r="E8" s="372">
        <v>3.65</v>
      </c>
      <c r="F8" s="156">
        <v>44300</v>
      </c>
      <c r="G8" s="56">
        <v>7.5</v>
      </c>
      <c r="H8" s="447">
        <v>44683</v>
      </c>
      <c r="I8" s="63">
        <v>9</v>
      </c>
      <c r="J8" s="495">
        <v>44727</v>
      </c>
      <c r="K8" s="70">
        <v>7</v>
      </c>
      <c r="L8" s="497">
        <v>44853</v>
      </c>
      <c r="M8" s="77"/>
      <c r="N8" s="78"/>
      <c r="O8" s="84"/>
      <c r="P8" s="85"/>
      <c r="Q8" s="91"/>
      <c r="R8" s="92"/>
    </row>
    <row r="9" spans="1:18" x14ac:dyDescent="0.25">
      <c r="B9" s="749" t="s">
        <v>102</v>
      </c>
      <c r="C9" s="800" t="s">
        <v>4</v>
      </c>
      <c r="D9" s="801" cm="1">
        <f t="array" aca="1" ref="D9" ca="1">INDIRECT(ADDRESS(ROW(),MATCH(MAX(F9,H9,J9,L9,N9,P9,R9),E9:R9,0)-1+COLUMNS(A9:D9),4))</f>
        <v>4.024</v>
      </c>
      <c r="E9" s="714">
        <f>0.8*Euro!B3</f>
        <v>4.024</v>
      </c>
      <c r="F9" s="156">
        <v>44183</v>
      </c>
      <c r="G9" s="58"/>
      <c r="H9" s="59"/>
      <c r="I9" s="65"/>
      <c r="J9" s="66"/>
      <c r="K9" s="72"/>
      <c r="L9" s="73"/>
      <c r="M9" s="79"/>
      <c r="N9" s="80"/>
      <c r="O9" s="86"/>
      <c r="P9" s="87"/>
      <c r="Q9" s="93"/>
      <c r="R9" s="94"/>
    </row>
    <row r="10" spans="1:18" x14ac:dyDescent="0.25">
      <c r="B10" s="749" t="s">
        <v>71</v>
      </c>
      <c r="C10" s="800" t="s">
        <v>4</v>
      </c>
      <c r="D10" s="801" cm="1">
        <f t="array" aca="1" ref="D10" ca="1">INDIRECT(ADDRESS(ROW(),MATCH(MAX(F10,H10,J10,L10,N10,P10,R10),E10:R10,0)-1+COLUMNS(A10:D10),4))</f>
        <v>3.5</v>
      </c>
      <c r="E10" s="372">
        <v>3.5</v>
      </c>
      <c r="F10" s="156">
        <v>43922</v>
      </c>
      <c r="G10" s="56"/>
      <c r="H10" s="59"/>
      <c r="I10" s="63"/>
      <c r="J10" s="66"/>
      <c r="K10" s="70"/>
      <c r="L10" s="73"/>
      <c r="M10" s="77"/>
      <c r="N10" s="80"/>
      <c r="O10" s="84"/>
      <c r="P10" s="87"/>
      <c r="Q10" s="91"/>
      <c r="R10" s="94"/>
    </row>
    <row r="11" spans="1:18" x14ac:dyDescent="0.25">
      <c r="B11" s="749" t="s">
        <v>34</v>
      </c>
      <c r="C11" s="800" t="s">
        <v>4</v>
      </c>
      <c r="D11" s="801" cm="1">
        <f t="array" aca="1" ref="D11" ca="1">INDIRECT(ADDRESS(ROW(),MATCH(MAX(F11,H11,J11,L11,N11,P11,R11),E11:R11,0)-1+COLUMNS(A11:D11),4))</f>
        <v>6</v>
      </c>
      <c r="E11" s="372">
        <f>2.8*1.2</f>
        <v>3.36</v>
      </c>
      <c r="F11" s="156">
        <v>44139</v>
      </c>
      <c r="G11" s="56">
        <v>6</v>
      </c>
      <c r="H11" s="59">
        <v>44747</v>
      </c>
      <c r="I11" s="63"/>
      <c r="J11" s="66"/>
      <c r="K11" s="70"/>
      <c r="L11" s="73"/>
      <c r="M11" s="77"/>
      <c r="N11" s="80"/>
      <c r="O11" s="84"/>
      <c r="P11" s="87"/>
      <c r="Q11" s="91"/>
      <c r="R11" s="94"/>
    </row>
    <row r="12" spans="1:18" x14ac:dyDescent="0.25">
      <c r="B12" s="749" t="s">
        <v>166</v>
      </c>
      <c r="C12" s="800" t="s">
        <v>4</v>
      </c>
      <c r="D12" s="801" cm="1">
        <f t="array" aca="1" ref="D12" ca="1">INDIRECT(ADDRESS(ROW(),MATCH(MAX(F12,H12,J12,L12,N12,P12,R12),E12:R12,0)-1+COLUMNS(A12:D12),4))</f>
        <v>5.67</v>
      </c>
      <c r="E12" s="614">
        <v>5.67</v>
      </c>
      <c r="F12" s="156">
        <v>44336</v>
      </c>
      <c r="G12" s="56"/>
      <c r="H12" s="59"/>
      <c r="I12" s="63"/>
      <c r="J12" s="66"/>
      <c r="K12" s="70"/>
      <c r="L12" s="73"/>
      <c r="M12" s="77"/>
      <c r="N12" s="80"/>
      <c r="O12" s="84"/>
      <c r="P12" s="87"/>
      <c r="Q12" s="91"/>
      <c r="R12" s="94"/>
    </row>
    <row r="13" spans="1:18" x14ac:dyDescent="0.25">
      <c r="B13" s="749" t="s">
        <v>23</v>
      </c>
      <c r="C13" s="800" t="s">
        <v>4</v>
      </c>
      <c r="D13" s="801" cm="1">
        <f t="array" aca="1" ref="D13" ca="1">INDIRECT(ADDRESS(ROW(),MATCH(MAX(F13,H13,J13,L13,N13,P13,R13),E13:R13,0)-1+COLUMNS(A13:D13),4))</f>
        <v>4.1749000000000001</v>
      </c>
      <c r="E13" s="614">
        <f>830/1000*Euro!B3</f>
        <v>4.1749000000000001</v>
      </c>
      <c r="F13" s="156">
        <v>44336</v>
      </c>
      <c r="G13" s="56"/>
      <c r="H13" s="59"/>
      <c r="I13" s="63"/>
      <c r="J13" s="66"/>
      <c r="K13" s="70"/>
      <c r="L13" s="73"/>
      <c r="M13" s="77"/>
      <c r="N13" s="80"/>
      <c r="O13" s="84"/>
      <c r="P13" s="87"/>
      <c r="Q13" s="91"/>
      <c r="R13" s="94"/>
    </row>
    <row r="14" spans="1:18" x14ac:dyDescent="0.25">
      <c r="B14" s="749" t="s">
        <v>103</v>
      </c>
      <c r="C14" s="800" t="s">
        <v>4</v>
      </c>
      <c r="D14" s="801" cm="1">
        <f t="array" aca="1" ref="D14" ca="1">INDIRECT(ADDRESS(ROW(),MATCH(MAX(F14,H14,J14,L14,N14,P14,R14),E14:R14,0)-1+COLUMNS(A14:D14),4))</f>
        <v>4.024</v>
      </c>
      <c r="E14" s="614">
        <f>0.8*Euro!B3</f>
        <v>4.024</v>
      </c>
      <c r="F14" s="156">
        <v>44183</v>
      </c>
      <c r="G14" s="56"/>
      <c r="H14" s="59"/>
      <c r="I14" s="63"/>
      <c r="J14" s="66"/>
      <c r="K14" s="70"/>
      <c r="L14" s="73"/>
      <c r="M14" s="77"/>
      <c r="N14" s="80"/>
      <c r="O14" s="84"/>
      <c r="P14" s="87"/>
      <c r="Q14" s="91"/>
      <c r="R14" s="94"/>
    </row>
    <row r="15" spans="1:18" ht="15.75" x14ac:dyDescent="0.25">
      <c r="B15" s="796" t="s">
        <v>37</v>
      </c>
      <c r="C15" s="800" t="s">
        <v>4</v>
      </c>
      <c r="D15" s="801" cm="1">
        <f t="array" aca="1" ref="D15" ca="1">INDIRECT(ADDRESS(ROW(),MATCH(MAX(F15,H15,J15,L15,N15,P15,R15),E15:R15,0)-1+COLUMNS(A15:D15),4))</f>
        <v>6.9</v>
      </c>
      <c r="E15" s="372">
        <v>8</v>
      </c>
      <c r="F15" s="156">
        <v>44512</v>
      </c>
      <c r="G15" s="56">
        <v>9.6999999999999993</v>
      </c>
      <c r="H15" s="59">
        <v>44700</v>
      </c>
      <c r="I15" s="63">
        <v>9</v>
      </c>
      <c r="J15" s="66">
        <v>44847</v>
      </c>
      <c r="K15" s="70">
        <v>8.5</v>
      </c>
      <c r="L15" s="73">
        <v>44930</v>
      </c>
      <c r="M15" s="77">
        <v>7.95</v>
      </c>
      <c r="N15" s="80">
        <v>44977</v>
      </c>
      <c r="O15" s="84">
        <v>7.2</v>
      </c>
      <c r="P15" s="87">
        <v>45049</v>
      </c>
      <c r="Q15" s="91">
        <v>6.9</v>
      </c>
      <c r="R15" s="94">
        <v>45169</v>
      </c>
    </row>
    <row r="16" spans="1:18" x14ac:dyDescent="0.25">
      <c r="B16" s="749" t="s">
        <v>15</v>
      </c>
      <c r="C16" s="800" t="s">
        <v>4</v>
      </c>
      <c r="D16" s="801" cm="1">
        <f t="array" aca="1" ref="D16" ca="1">INDIRECT(ADDRESS(ROW(),MATCH(MAX(F16,H16,J16,L16,N16,P16,R16),E16:R16,0)-1+COLUMNS(A16:D16),4))</f>
        <v>3.75</v>
      </c>
      <c r="E16" s="372">
        <v>3.75</v>
      </c>
      <c r="F16" s="156">
        <v>44120</v>
      </c>
      <c r="G16" s="58"/>
      <c r="H16" s="59"/>
      <c r="I16" s="65"/>
      <c r="J16" s="66"/>
      <c r="K16" s="72"/>
      <c r="L16" s="73"/>
      <c r="M16" s="79"/>
      <c r="N16" s="80"/>
      <c r="O16" s="86"/>
      <c r="P16" s="87"/>
      <c r="Q16" s="93"/>
      <c r="R16" s="94"/>
    </row>
    <row r="17" spans="2:18" x14ac:dyDescent="0.25">
      <c r="B17" s="749" t="s">
        <v>46</v>
      </c>
      <c r="C17" s="800" t="s">
        <v>4</v>
      </c>
      <c r="D17" s="801" cm="1">
        <f t="array" aca="1" ref="D17" ca="1">INDIRECT(ADDRESS(ROW(),MATCH(MAX(F17,H17,J17,L17,N17,P17,R17),E17:R17,0)-1+COLUMNS(A17:D17),4))</f>
        <v>2.7</v>
      </c>
      <c r="E17" s="372">
        <v>2.7</v>
      </c>
      <c r="F17" s="156">
        <v>43850</v>
      </c>
      <c r="G17" s="56"/>
      <c r="H17" s="59"/>
      <c r="I17" s="63"/>
      <c r="J17" s="66"/>
      <c r="K17" s="70"/>
      <c r="L17" s="73"/>
      <c r="M17" s="77"/>
      <c r="N17" s="80"/>
      <c r="O17" s="84"/>
      <c r="P17" s="87"/>
      <c r="Q17" s="91"/>
      <c r="R17" s="94"/>
    </row>
    <row r="18" spans="2:18" x14ac:dyDescent="0.25">
      <c r="B18" s="749" t="s">
        <v>16</v>
      </c>
      <c r="C18" s="800" t="s">
        <v>4</v>
      </c>
      <c r="D18" s="801" cm="1">
        <f t="array" aca="1" ref="D18" ca="1">INDIRECT(ADDRESS(ROW(),MATCH(MAX(F18,H18,J18,L18,N18,P18,R18),E18:R18,0)-1+COLUMNS(A18:D18),4))</f>
        <v>3.75</v>
      </c>
      <c r="E18" s="372">
        <v>3.75</v>
      </c>
      <c r="F18" s="156">
        <v>44120</v>
      </c>
      <c r="G18" s="56"/>
      <c r="H18" s="59"/>
      <c r="I18" s="63"/>
      <c r="J18" s="66"/>
      <c r="K18" s="70"/>
      <c r="L18" s="73"/>
      <c r="M18" s="77"/>
      <c r="N18" s="80"/>
      <c r="O18" s="84"/>
      <c r="P18" s="87"/>
      <c r="Q18" s="91"/>
      <c r="R18" s="94"/>
    </row>
    <row r="19" spans="2:18" x14ac:dyDescent="0.25">
      <c r="B19" s="749" t="s">
        <v>168</v>
      </c>
      <c r="C19" s="800" t="s">
        <v>4</v>
      </c>
      <c r="D19" s="801" cm="1">
        <f t="array" aca="1" ref="D19" ca="1">INDIRECT(ADDRESS(ROW(),MATCH(MAX(F19,H19,J19,L19,N19,P19,R19),E19:R19,0)-1+COLUMNS(A19:D19),4))</f>
        <v>4.93</v>
      </c>
      <c r="E19" s="372">
        <v>4.93</v>
      </c>
      <c r="F19" s="156">
        <v>44364</v>
      </c>
      <c r="G19" s="56"/>
      <c r="H19" s="59"/>
      <c r="I19" s="63"/>
      <c r="J19" s="66"/>
      <c r="K19" s="70"/>
      <c r="L19" s="73"/>
      <c r="M19" s="77"/>
      <c r="N19" s="80"/>
      <c r="O19" s="84"/>
      <c r="P19" s="87"/>
      <c r="Q19" s="91"/>
      <c r="R19" s="94"/>
    </row>
    <row r="20" spans="2:18" x14ac:dyDescent="0.25">
      <c r="B20" s="749" t="s">
        <v>17</v>
      </c>
      <c r="C20" s="800" t="s">
        <v>4</v>
      </c>
      <c r="D20" s="801" cm="1">
        <f t="array" aca="1" ref="D20" ca="1">INDIRECT(ADDRESS(ROW(),MATCH(MAX(F20,H20,J20,L20,N20,P20,R20),E20:R20,0)-1+COLUMNS(A20:D20),4))</f>
        <v>4.57</v>
      </c>
      <c r="E20" s="372">
        <v>4.25</v>
      </c>
      <c r="F20" s="156">
        <v>44391</v>
      </c>
      <c r="G20" s="351">
        <v>3.9</v>
      </c>
      <c r="H20" s="59">
        <v>44486</v>
      </c>
      <c r="I20" s="63">
        <v>4.2</v>
      </c>
      <c r="J20" s="66">
        <v>44593</v>
      </c>
      <c r="K20" s="70">
        <v>5.95</v>
      </c>
      <c r="L20" s="73">
        <v>44700</v>
      </c>
      <c r="M20" s="77">
        <v>5</v>
      </c>
      <c r="N20" s="80">
        <v>44820</v>
      </c>
      <c r="O20" s="84">
        <v>4.95</v>
      </c>
      <c r="P20" s="87">
        <v>44932</v>
      </c>
      <c r="Q20" s="91">
        <v>4.57</v>
      </c>
      <c r="R20" s="94">
        <v>45071</v>
      </c>
    </row>
    <row r="21" spans="2:18" x14ac:dyDescent="0.25">
      <c r="B21" s="749" t="s">
        <v>22</v>
      </c>
      <c r="C21" s="800" t="s">
        <v>4</v>
      </c>
      <c r="D21" s="801" cm="1">
        <f t="array" aca="1" ref="D21" ca="1">INDIRECT(ADDRESS(ROW(),MATCH(MAX(F21,H21,J21,L21,N21,P21,R21),E21:R21,0)-1+COLUMNS(A21:D21),4))</f>
        <v>4.2</v>
      </c>
      <c r="E21" s="372">
        <v>4.9000000000000004</v>
      </c>
      <c r="F21" s="156">
        <v>44993</v>
      </c>
      <c r="G21" s="56">
        <v>4.75</v>
      </c>
      <c r="H21" s="59">
        <v>45005</v>
      </c>
      <c r="I21" s="63">
        <v>6.3627000000000002</v>
      </c>
      <c r="J21" s="66">
        <v>45062</v>
      </c>
      <c r="K21" s="70">
        <v>4.5999999999999996</v>
      </c>
      <c r="L21" s="73">
        <v>45069</v>
      </c>
      <c r="M21" s="77">
        <v>4.3</v>
      </c>
      <c r="N21" s="80">
        <v>45163</v>
      </c>
      <c r="O21" s="86">
        <v>3.9</v>
      </c>
      <c r="P21" s="87">
        <v>45197</v>
      </c>
      <c r="Q21" s="577">
        <v>4.2</v>
      </c>
      <c r="R21" s="94">
        <v>45202</v>
      </c>
    </row>
    <row r="22" spans="2:18" x14ac:dyDescent="0.25">
      <c r="B22" s="749" t="s">
        <v>47</v>
      </c>
      <c r="C22" s="800" t="s">
        <v>4</v>
      </c>
      <c r="D22" s="801" cm="1">
        <f t="array" aca="1" ref="D22" ca="1">INDIRECT(ADDRESS(ROW(),MATCH(MAX(F22,H22,J22,L22,N22,P22,R22),E22:R22,0)-1+COLUMNS(A22:D22),4))</f>
        <v>5.2</v>
      </c>
      <c r="E22" s="372">
        <v>2.7</v>
      </c>
      <c r="F22" s="156">
        <v>43852</v>
      </c>
      <c r="G22" s="56">
        <v>5.2</v>
      </c>
      <c r="H22" s="59">
        <v>44831</v>
      </c>
      <c r="I22" s="63"/>
      <c r="J22" s="66"/>
      <c r="K22" s="70"/>
      <c r="L22" s="73"/>
      <c r="M22" s="77"/>
      <c r="N22" s="80"/>
      <c r="O22" s="84"/>
      <c r="P22" s="87"/>
      <c r="Q22" s="91"/>
      <c r="R22" s="94"/>
    </row>
    <row r="23" spans="2:18" x14ac:dyDescent="0.25">
      <c r="B23" s="749" t="s">
        <v>53</v>
      </c>
      <c r="C23" s="800" t="s">
        <v>4</v>
      </c>
      <c r="D23" s="801" cm="1">
        <f t="array" aca="1" ref="D23" ca="1">INDIRECT(ADDRESS(ROW(),MATCH(MAX(F23,H23,J23,L23,N23,P23,R23),E23:R23,0)-1+COLUMNS(A23:D23),4))</f>
        <v>4.8</v>
      </c>
      <c r="E23" s="372">
        <v>2.75</v>
      </c>
      <c r="F23" s="156">
        <v>44300</v>
      </c>
      <c r="G23" s="58">
        <v>4.8</v>
      </c>
      <c r="H23" s="59">
        <v>44726</v>
      </c>
      <c r="I23" s="65"/>
      <c r="J23" s="66"/>
      <c r="K23" s="72"/>
      <c r="L23" s="73"/>
      <c r="M23" s="79"/>
      <c r="N23" s="80"/>
      <c r="O23" s="86"/>
      <c r="P23" s="87"/>
      <c r="Q23" s="93"/>
      <c r="R23" s="94"/>
    </row>
    <row r="24" spans="2:18" x14ac:dyDescent="0.25">
      <c r="B24" s="749" t="s">
        <v>48</v>
      </c>
      <c r="C24" s="800" t="s">
        <v>4</v>
      </c>
      <c r="D24" s="801" cm="1">
        <f t="array" aca="1" ref="D24" ca="1">INDIRECT(ADDRESS(ROW(),MATCH(MAX(F24,H24,J24,L24,N24,P24,R24),E24:R24,0)-1+COLUMNS(A24:D24),4))</f>
        <v>4.9000000000000004</v>
      </c>
      <c r="E24" s="372">
        <v>3.6</v>
      </c>
      <c r="F24" s="156">
        <v>44309</v>
      </c>
      <c r="G24" s="351">
        <v>3.661</v>
      </c>
      <c r="H24" s="59">
        <v>44383</v>
      </c>
      <c r="I24" s="63">
        <v>4.26</v>
      </c>
      <c r="J24" s="66">
        <v>44606</v>
      </c>
      <c r="K24" s="70">
        <v>6.4</v>
      </c>
      <c r="L24" s="73">
        <v>44662</v>
      </c>
      <c r="M24" s="77">
        <v>4.9000000000000004</v>
      </c>
      <c r="N24" s="80">
        <v>44889</v>
      </c>
      <c r="O24" s="84"/>
      <c r="P24" s="87"/>
      <c r="Q24" s="91"/>
      <c r="R24" s="94"/>
    </row>
    <row r="25" spans="2:18" x14ac:dyDescent="0.25">
      <c r="B25" s="749" t="s">
        <v>3</v>
      </c>
      <c r="C25" s="800" t="s">
        <v>4</v>
      </c>
      <c r="D25" s="801" cm="1">
        <f t="array" aca="1" ref="D25" ca="1">INDIRECT(ADDRESS(ROW(),MATCH(MAX(F25,H25,J25,L25,N25,P25,R25),E25:R25,0)-1+COLUMNS(A25:D25),4))</f>
        <v>4.4000000000000004</v>
      </c>
      <c r="E25" s="372">
        <v>3.2</v>
      </c>
      <c r="F25" s="156">
        <v>44298</v>
      </c>
      <c r="G25" s="351">
        <v>4.25</v>
      </c>
      <c r="H25" s="59">
        <v>44391</v>
      </c>
      <c r="I25" s="63">
        <v>5.8</v>
      </c>
      <c r="J25" s="66">
        <v>44685</v>
      </c>
      <c r="K25" s="70">
        <v>5.95</v>
      </c>
      <c r="L25" s="73">
        <v>44701</v>
      </c>
      <c r="M25" s="77">
        <v>5.25</v>
      </c>
      <c r="N25" s="80">
        <v>44911</v>
      </c>
      <c r="O25" s="84">
        <v>4.95</v>
      </c>
      <c r="P25" s="87">
        <v>44932</v>
      </c>
      <c r="Q25" s="91">
        <v>4.4000000000000004</v>
      </c>
      <c r="R25" s="94">
        <v>45167</v>
      </c>
    </row>
    <row r="26" spans="2:18" x14ac:dyDescent="0.25">
      <c r="B26" s="749" t="s">
        <v>149</v>
      </c>
      <c r="C26" s="800" t="s">
        <v>4</v>
      </c>
      <c r="D26" s="801" cm="1">
        <f t="array" aca="1" ref="D26" ca="1">INDIRECT(ADDRESS(ROW(),MATCH(MAX(F26,H26,J26,L26,N26,P26,R26),E26:R26,0)-1+COLUMNS(A26:D26),4))</f>
        <v>4.26</v>
      </c>
      <c r="E26" s="372">
        <v>3.4</v>
      </c>
      <c r="F26" s="156">
        <v>44280</v>
      </c>
      <c r="G26" s="351">
        <v>4.26</v>
      </c>
      <c r="H26" s="59">
        <v>44592</v>
      </c>
      <c r="I26" s="63"/>
      <c r="J26" s="66"/>
      <c r="K26" s="70"/>
      <c r="L26" s="73"/>
      <c r="M26" s="77"/>
      <c r="N26" s="80"/>
      <c r="O26" s="84"/>
      <c r="P26" s="87"/>
      <c r="Q26" s="91"/>
      <c r="R26" s="94"/>
    </row>
    <row r="27" spans="2:18" x14ac:dyDescent="0.25">
      <c r="B27" s="749" t="s">
        <v>315</v>
      </c>
      <c r="C27" s="800" t="s">
        <v>4</v>
      </c>
      <c r="D27" s="801" cm="1">
        <f t="array" aca="1" ref="D27" ca="1">INDIRECT(ADDRESS(ROW(),MATCH(MAX(F27,H27,J27,L27,N27,P27,R27),E27:R27,0)-1+COLUMNS(A27:D27),4))</f>
        <v>8.0500000000000007</v>
      </c>
      <c r="E27" s="803">
        <f>1*Euro!B3</f>
        <v>5.03</v>
      </c>
      <c r="F27" s="156">
        <v>44235</v>
      </c>
      <c r="G27" s="56">
        <v>4.9000000000000004</v>
      </c>
      <c r="H27" s="59">
        <v>44379</v>
      </c>
      <c r="I27" s="63">
        <v>4.3</v>
      </c>
      <c r="J27" s="66">
        <v>44382</v>
      </c>
      <c r="K27" s="70">
        <v>4.8499999999999996</v>
      </c>
      <c r="L27" s="73">
        <v>44606</v>
      </c>
      <c r="M27" s="551">
        <f>ROUND(1.6*Euro!B3,2)</f>
        <v>8.0500000000000007</v>
      </c>
      <c r="N27" s="80">
        <v>44628</v>
      </c>
      <c r="O27" s="84"/>
      <c r="P27" s="87"/>
      <c r="Q27" s="91"/>
      <c r="R27" s="94"/>
    </row>
    <row r="28" spans="2:18" x14ac:dyDescent="0.25">
      <c r="B28" s="749" t="s">
        <v>347</v>
      </c>
      <c r="C28" s="800" t="s">
        <v>4</v>
      </c>
      <c r="D28" s="801" cm="1">
        <f t="array" aca="1" ref="D28" ca="1">INDIRECT(ADDRESS(ROW(),MATCH(MAX(F28,H28,J28,L28,N28,P28,R28),E28:R28,0)-1+COLUMNS(A28:D28),4))</f>
        <v>4.95</v>
      </c>
      <c r="E28" s="372">
        <v>5.95</v>
      </c>
      <c r="F28" s="156">
        <v>44700</v>
      </c>
      <c r="G28" s="56">
        <v>4.95</v>
      </c>
      <c r="H28" s="59">
        <v>44932</v>
      </c>
      <c r="I28" s="63"/>
      <c r="J28" s="66"/>
      <c r="K28" s="70"/>
      <c r="L28" s="73"/>
      <c r="M28" s="77"/>
      <c r="N28" s="80"/>
      <c r="O28" s="84"/>
      <c r="P28" s="87"/>
      <c r="Q28" s="91"/>
      <c r="R28" s="94"/>
    </row>
    <row r="29" spans="2:18" x14ac:dyDescent="0.25">
      <c r="B29" s="749" t="s">
        <v>158</v>
      </c>
      <c r="C29" s="800" t="s">
        <v>4</v>
      </c>
      <c r="D29" s="801" cm="1">
        <f t="array" aca="1" ref="D29" ca="1">INDIRECT(ADDRESS(ROW(),MATCH(MAX(F29,H29,J29,L29,N29,P29,R29),E29:R29,0)-1+COLUMNS(A29:D29),4))</f>
        <v>4.5999999999999996</v>
      </c>
      <c r="E29" s="372">
        <v>3.85</v>
      </c>
      <c r="F29" s="156">
        <v>44321</v>
      </c>
      <c r="G29" s="351">
        <v>4.3449999999999998</v>
      </c>
      <c r="H29" s="59">
        <v>44456</v>
      </c>
      <c r="I29" s="63">
        <v>5.9</v>
      </c>
      <c r="J29" s="66">
        <v>44719</v>
      </c>
      <c r="K29" s="70">
        <v>4.5999999999999996</v>
      </c>
      <c r="L29" s="73">
        <v>45117</v>
      </c>
      <c r="M29" s="77"/>
      <c r="N29" s="80"/>
      <c r="O29" s="84"/>
      <c r="P29" s="87"/>
      <c r="Q29" s="91"/>
      <c r="R29" s="94"/>
    </row>
    <row r="30" spans="2:18" x14ac:dyDescent="0.25">
      <c r="B30" s="749" t="s">
        <v>127</v>
      </c>
      <c r="C30" s="800" t="s">
        <v>4</v>
      </c>
      <c r="D30" s="801" cm="1">
        <f t="array" aca="1" ref="D30" ca="1">INDIRECT(ADDRESS(ROW(),MATCH(MAX(F30,H30,J30,L30,N30,P30,R30),E30:R30,0)-1+COLUMNS(A30:D30),4))</f>
        <v>4.95</v>
      </c>
      <c r="E30" s="372">
        <f>1*Euro!B3</f>
        <v>5.03</v>
      </c>
      <c r="F30" s="156">
        <v>44235</v>
      </c>
      <c r="G30" s="56">
        <v>5.94</v>
      </c>
      <c r="H30" s="59">
        <v>44700</v>
      </c>
      <c r="I30" s="63">
        <v>4.95</v>
      </c>
      <c r="J30" s="66">
        <v>44932</v>
      </c>
      <c r="K30" s="70"/>
      <c r="L30" s="73"/>
      <c r="M30" s="77"/>
      <c r="N30" s="80"/>
      <c r="O30" s="84"/>
      <c r="P30" s="87"/>
      <c r="Q30" s="91"/>
      <c r="R30" s="94"/>
    </row>
    <row r="31" spans="2:18" x14ac:dyDescent="0.25">
      <c r="B31" s="749" t="s">
        <v>7</v>
      </c>
      <c r="C31" s="800" t="s">
        <v>4</v>
      </c>
      <c r="D31" s="801" cm="1">
        <f t="array" aca="1" ref="D31" ca="1">INDIRECT(ADDRESS(ROW(),MATCH(MAX(F31,H31,J31,L31,N31,P31,R31),E31:R31,0)-1+COLUMNS(A31:D31),4))</f>
        <v>4.0999999999999996</v>
      </c>
      <c r="E31" s="372">
        <v>5.0999999999999996</v>
      </c>
      <c r="F31" s="156">
        <v>44860</v>
      </c>
      <c r="G31" s="56">
        <v>4.95</v>
      </c>
      <c r="H31" s="59">
        <v>44932</v>
      </c>
      <c r="I31" s="63">
        <v>5.5</v>
      </c>
      <c r="J31" s="66">
        <v>44951</v>
      </c>
      <c r="K31" s="70">
        <v>5.46</v>
      </c>
      <c r="L31" s="73">
        <v>45007</v>
      </c>
      <c r="M31" s="77">
        <v>5.5</v>
      </c>
      <c r="N31" s="80">
        <v>45019</v>
      </c>
      <c r="O31" s="84">
        <v>4.4000000000000004</v>
      </c>
      <c r="P31" s="87">
        <v>45055</v>
      </c>
      <c r="Q31" s="91">
        <v>4.0999999999999996</v>
      </c>
      <c r="R31" s="94">
        <v>45084</v>
      </c>
    </row>
    <row r="32" spans="2:18" x14ac:dyDescent="0.25">
      <c r="B32" s="749" t="s">
        <v>8</v>
      </c>
      <c r="C32" s="800" t="s">
        <v>4</v>
      </c>
      <c r="D32" s="801" cm="1">
        <f t="array" aca="1" ref="D32" ca="1">INDIRECT(ADDRESS(ROW(),MATCH(MAX(F32,H32,J32,L32,N32,P32,R32),E32:R32,0)-1+COLUMNS(A32:D32),4))</f>
        <v>4.3499999999999996</v>
      </c>
      <c r="E32" s="614">
        <v>4.8</v>
      </c>
      <c r="F32" s="156">
        <v>44726</v>
      </c>
      <c r="G32" s="351">
        <v>4.9000000000000004</v>
      </c>
      <c r="H32" s="59">
        <v>44889</v>
      </c>
      <c r="I32" s="63">
        <v>4.75</v>
      </c>
      <c r="J32" s="66">
        <v>45005</v>
      </c>
      <c r="K32" s="70">
        <v>4.5999999999999996</v>
      </c>
      <c r="L32" s="73">
        <v>45019</v>
      </c>
      <c r="M32" s="77">
        <v>4.4000000000000004</v>
      </c>
      <c r="N32" s="80">
        <v>45090</v>
      </c>
      <c r="O32" s="84">
        <v>3.92</v>
      </c>
      <c r="P32" s="87">
        <v>45163</v>
      </c>
      <c r="Q32" s="91">
        <v>4.3499999999999996</v>
      </c>
      <c r="R32" s="94">
        <v>45190</v>
      </c>
    </row>
    <row r="33" spans="1:18" x14ac:dyDescent="0.25">
      <c r="B33" s="749" t="s">
        <v>20</v>
      </c>
      <c r="C33" s="800" t="s">
        <v>4</v>
      </c>
      <c r="D33" s="801" cm="1">
        <f t="array" aca="1" ref="D33" ca="1">INDIRECT(ADDRESS(ROW(),MATCH(MAX(F33,H33,J33,L33,N33,P33,R33),E33:R33,0)-1+COLUMNS(A33:D33),4))</f>
        <v>5.4</v>
      </c>
      <c r="E33" s="372">
        <v>2.7</v>
      </c>
      <c r="F33" s="156">
        <v>44120</v>
      </c>
      <c r="G33" s="56">
        <v>5.4</v>
      </c>
      <c r="H33" s="59">
        <v>44697</v>
      </c>
      <c r="I33" s="63"/>
      <c r="J33" s="66"/>
      <c r="K33" s="70"/>
      <c r="L33" s="73"/>
      <c r="M33" s="77"/>
      <c r="N33" s="80"/>
      <c r="O33" s="84"/>
      <c r="P33" s="87"/>
      <c r="Q33" s="91"/>
      <c r="R33" s="94"/>
    </row>
    <row r="34" spans="1:18" x14ac:dyDescent="0.25">
      <c r="B34" s="749" t="s">
        <v>18</v>
      </c>
      <c r="C34" s="800" t="s">
        <v>4</v>
      </c>
      <c r="D34" s="801" cm="1">
        <f t="array" aca="1" ref="D34" ca="1">INDIRECT(ADDRESS(ROW(),MATCH(MAX(F34,H34,J34,L34,N34,P34,R34),E34:R34,0)-1+COLUMNS(A34:D34),4))</f>
        <v>4.95</v>
      </c>
      <c r="E34" s="372">
        <v>2.6</v>
      </c>
      <c r="F34" s="156">
        <v>44120</v>
      </c>
      <c r="G34" s="56">
        <v>4.25</v>
      </c>
      <c r="H34" s="59">
        <v>44391</v>
      </c>
      <c r="I34" s="63">
        <v>5.45</v>
      </c>
      <c r="J34" s="66">
        <v>44700</v>
      </c>
      <c r="K34" s="70">
        <v>4.95</v>
      </c>
      <c r="L34" s="73">
        <v>44932</v>
      </c>
      <c r="M34" s="77"/>
      <c r="N34" s="80"/>
      <c r="O34" s="84"/>
      <c r="P34" s="87"/>
      <c r="Q34" s="91"/>
      <c r="R34" s="94"/>
    </row>
    <row r="35" spans="1:18" x14ac:dyDescent="0.25">
      <c r="B35" s="749" t="s">
        <v>49</v>
      </c>
      <c r="C35" s="800" t="s">
        <v>4</v>
      </c>
      <c r="D35" s="801" cm="1">
        <f t="array" aca="1" ref="D35" ca="1">INDIRECT(ADDRESS(ROW(),MATCH(MAX(F35,H35,J35,L35,N35,P35,R35),E35:R35,0)-1+COLUMNS(A35:D35),4))</f>
        <v>3.81</v>
      </c>
      <c r="E35" s="372">
        <v>5.5</v>
      </c>
      <c r="F35" s="156">
        <v>44977</v>
      </c>
      <c r="G35" s="56">
        <v>4.55</v>
      </c>
      <c r="H35" s="59">
        <v>45049</v>
      </c>
      <c r="I35" s="63">
        <v>4.3</v>
      </c>
      <c r="J35" s="66">
        <v>45070</v>
      </c>
      <c r="K35" s="70">
        <v>4.3600000000000003</v>
      </c>
      <c r="L35" s="73">
        <v>45090</v>
      </c>
      <c r="M35" s="77">
        <v>3.81</v>
      </c>
      <c r="N35" s="80">
        <v>45154</v>
      </c>
      <c r="O35" s="84">
        <v>3.91</v>
      </c>
      <c r="P35" s="87">
        <v>45163</v>
      </c>
      <c r="Q35" s="577">
        <v>3.81</v>
      </c>
      <c r="R35" s="94">
        <v>45195</v>
      </c>
    </row>
    <row r="36" spans="1:18" x14ac:dyDescent="0.25">
      <c r="B36" s="749" t="s">
        <v>5</v>
      </c>
      <c r="C36" s="800" t="s">
        <v>4</v>
      </c>
      <c r="D36" s="801" cm="1">
        <f t="array" aca="1" ref="D36" ca="1">INDIRECT(ADDRESS(ROW(),MATCH(MAX(F36,H36,J36,L36,N36,P36,R36),E36:R36,0)-1+COLUMNS(A36:D36),4))</f>
        <v>3.91</v>
      </c>
      <c r="E36" s="372">
        <v>4.6500000000000004</v>
      </c>
      <c r="F36" s="156">
        <v>44914</v>
      </c>
      <c r="G36" s="56">
        <v>5.9499999999999993</v>
      </c>
      <c r="H36" s="59">
        <v>44932</v>
      </c>
      <c r="I36" s="63">
        <v>5.7</v>
      </c>
      <c r="J36" s="66">
        <v>44993</v>
      </c>
      <c r="K36" s="70">
        <v>4.5</v>
      </c>
      <c r="L36" s="73">
        <v>45007</v>
      </c>
      <c r="M36" s="77">
        <v>4.3</v>
      </c>
      <c r="N36" s="80">
        <v>45061</v>
      </c>
      <c r="O36" s="84">
        <v>4.17</v>
      </c>
      <c r="P36" s="87">
        <v>45090</v>
      </c>
      <c r="Q36" s="577">
        <v>3.91</v>
      </c>
      <c r="R36" s="94">
        <v>45163</v>
      </c>
    </row>
    <row r="37" spans="1:18" x14ac:dyDescent="0.25">
      <c r="A37">
        <f>6*0.05*0.01*7850</f>
        <v>23.550000000000004</v>
      </c>
      <c r="B37" s="749" t="s">
        <v>21</v>
      </c>
      <c r="C37" s="800" t="s">
        <v>4</v>
      </c>
      <c r="D37" s="801" cm="1">
        <f t="array" aca="1" ref="D37" ca="1">INDIRECT(ADDRESS(ROW(),MATCH(MAX(F37,H37,J37,L37,N37,P37,R37),E37:R37,0)-1+COLUMNS(A37:D37),4))</f>
        <v>3.81</v>
      </c>
      <c r="E37" s="372">
        <v>4.5</v>
      </c>
      <c r="F37" s="156">
        <v>44932</v>
      </c>
      <c r="G37" s="56">
        <v>4.55</v>
      </c>
      <c r="H37" s="59">
        <v>45005</v>
      </c>
      <c r="I37" s="63">
        <v>4.5999999999999996</v>
      </c>
      <c r="J37" s="66">
        <v>45019</v>
      </c>
      <c r="K37" s="70">
        <v>4.3600000000000003</v>
      </c>
      <c r="L37" s="73">
        <v>45090</v>
      </c>
      <c r="M37" s="77">
        <v>3.91</v>
      </c>
      <c r="N37" s="80">
        <v>45163</v>
      </c>
      <c r="O37" s="84">
        <v>3.93</v>
      </c>
      <c r="P37" s="87">
        <v>45190</v>
      </c>
      <c r="Q37" s="91">
        <v>3.81</v>
      </c>
      <c r="R37" s="94">
        <v>45195</v>
      </c>
    </row>
    <row r="38" spans="1:18" x14ac:dyDescent="0.25">
      <c r="B38" s="749" t="s">
        <v>19</v>
      </c>
      <c r="C38" s="800" t="s">
        <v>4</v>
      </c>
      <c r="D38" s="801" cm="1">
        <f t="array" aca="1" ref="D38" ca="1">INDIRECT(ADDRESS(ROW(),MATCH(MAX(F38,H38,J38,L38,N38,P38,R38),E38:R38,0)-1+COLUMNS(A38:D38),4))</f>
        <v>4.5</v>
      </c>
      <c r="E38" s="372">
        <v>2.9</v>
      </c>
      <c r="F38" s="156">
        <v>44120</v>
      </c>
      <c r="G38" s="56">
        <v>4.25</v>
      </c>
      <c r="H38" s="59">
        <v>44391</v>
      </c>
      <c r="I38" s="448">
        <v>3.7</v>
      </c>
      <c r="J38" s="66">
        <v>44459</v>
      </c>
      <c r="K38" s="70">
        <v>4.3</v>
      </c>
      <c r="L38" s="73">
        <v>44606</v>
      </c>
      <c r="M38" s="77">
        <v>5.45</v>
      </c>
      <c r="N38" s="80">
        <v>44700</v>
      </c>
      <c r="O38" s="86">
        <v>4.5</v>
      </c>
      <c r="P38" s="87">
        <v>44932</v>
      </c>
      <c r="Q38" s="93"/>
      <c r="R38" s="94"/>
    </row>
    <row r="39" spans="1:18" x14ac:dyDescent="0.25">
      <c r="B39" s="749" t="s">
        <v>73</v>
      </c>
      <c r="C39" s="800" t="s">
        <v>4</v>
      </c>
      <c r="D39" s="801" cm="1">
        <f t="array" aca="1" ref="D39" ca="1">INDIRECT(ADDRESS(ROW(),MATCH(MAX(F39,H39,J39,L39,N39,P39,R39),E39:R39,0)-1+COLUMNS(A39:D39),4))</f>
        <v>4.3</v>
      </c>
      <c r="E39" s="372">
        <v>3.6</v>
      </c>
      <c r="F39" s="156">
        <v>44349</v>
      </c>
      <c r="G39" s="56">
        <v>4.4000000000000004</v>
      </c>
      <c r="H39" s="59">
        <v>44582</v>
      </c>
      <c r="I39" s="63">
        <v>4.6500000000000004</v>
      </c>
      <c r="J39" s="66">
        <v>44930</v>
      </c>
      <c r="K39" s="70">
        <v>4.3</v>
      </c>
      <c r="L39" s="73">
        <v>45070</v>
      </c>
      <c r="M39" s="77"/>
      <c r="N39" s="80"/>
      <c r="O39" s="84"/>
      <c r="P39" s="87"/>
      <c r="Q39" s="91"/>
      <c r="R39" s="94"/>
    </row>
    <row r="40" spans="1:18" x14ac:dyDescent="0.25">
      <c r="B40" s="749" t="s">
        <v>105</v>
      </c>
      <c r="C40" s="800" t="s">
        <v>4</v>
      </c>
      <c r="D40" s="801" cm="1">
        <f t="array" aca="1" ref="D40" ca="1">INDIRECT(ADDRESS(ROW(),MATCH(MAX(F40,H40,J40,L40,N40,P40,R40),E40:R40,0)-1+COLUMNS(A40:D40),4))</f>
        <v>4</v>
      </c>
      <c r="E40" s="372">
        <v>5.83</v>
      </c>
      <c r="F40" s="156">
        <v>44967</v>
      </c>
      <c r="G40" s="56">
        <v>5.95</v>
      </c>
      <c r="H40" s="59">
        <v>44977</v>
      </c>
      <c r="I40" s="448">
        <v>5.9</v>
      </c>
      <c r="J40" s="66">
        <v>45002</v>
      </c>
      <c r="K40" s="70">
        <v>5.95</v>
      </c>
      <c r="L40" s="73">
        <v>45007</v>
      </c>
      <c r="M40" s="77">
        <v>4.5</v>
      </c>
      <c r="N40" s="80">
        <v>45061</v>
      </c>
      <c r="O40" s="578">
        <v>4.4000000000000004</v>
      </c>
      <c r="P40" s="87">
        <v>45148</v>
      </c>
      <c r="Q40" s="577">
        <v>4</v>
      </c>
      <c r="R40" s="94">
        <v>45166</v>
      </c>
    </row>
    <row r="41" spans="1:18" x14ac:dyDescent="0.25">
      <c r="B41" s="749" t="s">
        <v>78</v>
      </c>
      <c r="C41" s="800" t="s">
        <v>4</v>
      </c>
      <c r="D41" s="801" cm="1">
        <f t="array" aca="1" ref="D41" ca="1">INDIRECT(ADDRESS(ROW(),MATCH(MAX(F41,H41,J41,L41,N41,P41,R41),E41:R41,0)-1+COLUMNS(A41:D41),4))</f>
        <v>3.81</v>
      </c>
      <c r="E41" s="372">
        <v>6.93</v>
      </c>
      <c r="F41" s="156">
        <v>44706</v>
      </c>
      <c r="G41" s="56">
        <v>6</v>
      </c>
      <c r="H41" s="59">
        <v>44740</v>
      </c>
      <c r="I41" s="448">
        <v>6.1</v>
      </c>
      <c r="J41" s="66">
        <v>44880</v>
      </c>
      <c r="K41" s="70">
        <v>5.5</v>
      </c>
      <c r="L41" s="73">
        <v>44932</v>
      </c>
      <c r="M41" s="77">
        <v>5.9857000000000005</v>
      </c>
      <c r="N41" s="80">
        <v>44993</v>
      </c>
      <c r="O41" s="578">
        <v>3.91</v>
      </c>
      <c r="P41" s="87">
        <v>45170</v>
      </c>
      <c r="Q41" s="577">
        <v>3.81</v>
      </c>
      <c r="R41" s="94">
        <v>45202</v>
      </c>
    </row>
    <row r="42" spans="1:18" x14ac:dyDescent="0.25">
      <c r="B42" s="749" t="s">
        <v>77</v>
      </c>
      <c r="C42" s="800" t="s">
        <v>4</v>
      </c>
      <c r="D42" s="801" cm="1">
        <f t="array" aca="1" ref="D42" ca="1">INDIRECT(ADDRESS(ROW(),MATCH(MAX(F42,H42,J42,L42,N42,P42,R42),E42:R42,0)-1+COLUMNS(A42:D42),4))</f>
        <v>2.75</v>
      </c>
      <c r="E42" s="372">
        <v>2.75</v>
      </c>
      <c r="F42" s="156">
        <v>43965</v>
      </c>
      <c r="G42" s="56"/>
      <c r="H42" s="59"/>
      <c r="I42" s="63"/>
      <c r="J42" s="66"/>
      <c r="K42" s="70"/>
      <c r="L42" s="73"/>
      <c r="M42" s="77"/>
      <c r="N42" s="80"/>
      <c r="O42" s="84"/>
      <c r="P42" s="87"/>
      <c r="Q42" s="91"/>
      <c r="R42" s="94"/>
    </row>
    <row r="43" spans="1:18" x14ac:dyDescent="0.25">
      <c r="B43" s="749" t="s">
        <v>45</v>
      </c>
      <c r="C43" s="800" t="s">
        <v>4</v>
      </c>
      <c r="D43" s="801" cm="1">
        <f t="array" aca="1" ref="D43" ca="1">INDIRECT(ADDRESS(ROW(),MATCH(MAX(F43,H43,J43,L43,N43,P43,R43),E43:R43,0)-1+COLUMNS(A43:D43),4))</f>
        <v>3.93</v>
      </c>
      <c r="E43" s="372">
        <v>3.6</v>
      </c>
      <c r="F43" s="156">
        <v>44350</v>
      </c>
      <c r="G43" s="56">
        <v>4.3</v>
      </c>
      <c r="H43" s="59">
        <v>44382</v>
      </c>
      <c r="I43" s="63">
        <v>3.8</v>
      </c>
      <c r="J43" s="66">
        <v>44503</v>
      </c>
      <c r="K43" s="70">
        <v>3.9</v>
      </c>
      <c r="L43" s="73">
        <v>44582</v>
      </c>
      <c r="M43" s="77">
        <v>4.6500000000000004</v>
      </c>
      <c r="N43" s="80">
        <v>44847</v>
      </c>
      <c r="O43" s="84">
        <v>4.6500000000000004</v>
      </c>
      <c r="P43" s="87">
        <v>44880</v>
      </c>
      <c r="Q43" s="91">
        <v>3.93</v>
      </c>
      <c r="R43" s="94">
        <v>45197</v>
      </c>
    </row>
    <row r="44" spans="1:18" x14ac:dyDescent="0.25">
      <c r="B44" s="749" t="s">
        <v>186</v>
      </c>
      <c r="C44" s="800" t="s">
        <v>4</v>
      </c>
      <c r="D44" s="801" cm="1">
        <f t="array" aca="1" ref="D44" ca="1">INDIRECT(ADDRESS(ROW(),MATCH(MAX(F44,H44,J44,L44,N44,P44,R44),E44:R44,0)-1+COLUMNS(A44:D44),4))</f>
        <v>4.46</v>
      </c>
      <c r="E44" s="372">
        <v>5.5</v>
      </c>
      <c r="F44" s="156">
        <v>44700</v>
      </c>
      <c r="G44" s="56">
        <v>4.46</v>
      </c>
      <c r="H44" s="59">
        <v>45042</v>
      </c>
      <c r="I44" s="63"/>
      <c r="J44" s="66"/>
      <c r="K44" s="70"/>
      <c r="L44" s="73"/>
      <c r="M44" s="77"/>
      <c r="N44" s="80"/>
      <c r="O44" s="84"/>
      <c r="P44" s="87"/>
      <c r="Q44" s="91"/>
      <c r="R44" s="94"/>
    </row>
    <row r="45" spans="1:18" x14ac:dyDescent="0.25">
      <c r="B45" s="749" t="s">
        <v>30</v>
      </c>
      <c r="C45" s="800" t="s">
        <v>4</v>
      </c>
      <c r="D45" s="801" cm="1">
        <f t="array" aca="1" ref="D45" ca="1">INDIRECT(ADDRESS(ROW(),MATCH(MAX(F45,H45,J45,L45,N45,P45,R45),E45:R45,0)-1+COLUMNS(A45:D45),4))</f>
        <v>4.46</v>
      </c>
      <c r="E45" s="372">
        <v>4</v>
      </c>
      <c r="F45" s="156">
        <v>44480</v>
      </c>
      <c r="G45" s="56">
        <v>3.8</v>
      </c>
      <c r="H45" s="59">
        <v>44489</v>
      </c>
      <c r="I45" s="63">
        <v>5.1100000000000003</v>
      </c>
      <c r="J45" s="66">
        <v>44634</v>
      </c>
      <c r="K45" s="70">
        <v>5.8</v>
      </c>
      <c r="L45" s="73">
        <v>44683</v>
      </c>
      <c r="M45" s="77">
        <v>4.8</v>
      </c>
      <c r="N45" s="80">
        <v>44847</v>
      </c>
      <c r="O45" s="84">
        <v>4.5999999999999996</v>
      </c>
      <c r="P45" s="87">
        <v>44988</v>
      </c>
      <c r="Q45" s="91">
        <v>4.46</v>
      </c>
      <c r="R45" s="94">
        <v>45037</v>
      </c>
    </row>
    <row r="46" spans="1:18" x14ac:dyDescent="0.25">
      <c r="A46" t="str">
        <f>"980 €/t pachet de 2 t "</f>
        <v xml:space="preserve">980 €/t pachet de 2 t </v>
      </c>
      <c r="B46" s="749" t="s">
        <v>9</v>
      </c>
      <c r="C46" s="800" t="s">
        <v>4</v>
      </c>
      <c r="D46" s="801" cm="1">
        <f t="array" aca="1" ref="D46" ca="1">INDIRECT(ADDRESS(ROW(),MATCH(MAX(F46,H46,J46,L46,N46,P46,R46),E46:R46,0)-1+COLUMNS(A46:D46),4))</f>
        <v>4.9294000000000002</v>
      </c>
      <c r="E46" s="372">
        <v>4.6500000000000004</v>
      </c>
      <c r="F46" s="156">
        <v>44853</v>
      </c>
      <c r="G46" s="56">
        <v>4.5999999999999996</v>
      </c>
      <c r="H46" s="59">
        <v>44860</v>
      </c>
      <c r="I46" s="63">
        <v>5.0999999999999996</v>
      </c>
      <c r="J46" s="66">
        <v>44930</v>
      </c>
      <c r="K46" s="70">
        <v>4.5</v>
      </c>
      <c r="L46" s="73">
        <v>44951</v>
      </c>
      <c r="M46" s="77">
        <v>5.0999999999999996</v>
      </c>
      <c r="N46" s="80">
        <v>44977</v>
      </c>
      <c r="O46" s="578">
        <v>4.7785000000000002</v>
      </c>
      <c r="P46" s="87">
        <v>45075</v>
      </c>
      <c r="Q46" s="577">
        <f>(980/1000)*Euro!B3</f>
        <v>4.9294000000000002</v>
      </c>
      <c r="R46" s="94">
        <v>45076</v>
      </c>
    </row>
    <row r="47" spans="1:18" ht="15.75" x14ac:dyDescent="0.25">
      <c r="B47" s="796" t="s">
        <v>50</v>
      </c>
      <c r="C47" s="800" t="s">
        <v>4</v>
      </c>
      <c r="D47" s="801" cm="1">
        <f t="array" aca="1" ref="D47" ca="1">INDIRECT(ADDRESS(ROW(),MATCH(MAX(F47,H47,J47,L47,N47,P47,R47),E47:R47,0)-1+COLUMNS(A47:D47),4))</f>
        <v>3.91</v>
      </c>
      <c r="E47" s="372">
        <v>5.8</v>
      </c>
      <c r="F47" s="156">
        <v>44678</v>
      </c>
      <c r="G47" s="56">
        <v>5.45</v>
      </c>
      <c r="H47" s="59">
        <v>44700</v>
      </c>
      <c r="I47" s="63">
        <v>4.5999999999999996</v>
      </c>
      <c r="J47" s="66">
        <v>44827</v>
      </c>
      <c r="K47" s="70">
        <v>4.6500000000000004</v>
      </c>
      <c r="L47" s="73">
        <v>44894</v>
      </c>
      <c r="M47" s="77">
        <v>4.5</v>
      </c>
      <c r="N47" s="80">
        <v>44932</v>
      </c>
      <c r="O47" s="84">
        <v>4.5999999999999996</v>
      </c>
      <c r="P47" s="87">
        <v>45007</v>
      </c>
      <c r="Q47" s="91">
        <v>3.91</v>
      </c>
      <c r="R47" s="94">
        <v>45163</v>
      </c>
    </row>
    <row r="48" spans="1:18" x14ac:dyDescent="0.25">
      <c r="B48" s="749" t="s">
        <v>68</v>
      </c>
      <c r="C48" s="800" t="s">
        <v>4</v>
      </c>
      <c r="D48" s="801" cm="1">
        <f t="array" aca="1" ref="D48" ca="1">INDIRECT(ADDRESS(ROW(),MATCH(MAX(F48,H48,J48,L48,N48,P48,R48),E48:R48,0)-1+COLUMNS(A48:D48),4))</f>
        <v>4.5</v>
      </c>
      <c r="E48" s="372">
        <v>3.6</v>
      </c>
      <c r="F48" s="156">
        <v>44320</v>
      </c>
      <c r="G48" s="56">
        <v>4.12</v>
      </c>
      <c r="H48" s="59">
        <v>44621</v>
      </c>
      <c r="I48" s="63">
        <v>5.8</v>
      </c>
      <c r="J48" s="66">
        <v>44678</v>
      </c>
      <c r="K48" s="70">
        <v>5.8</v>
      </c>
      <c r="L48" s="73">
        <v>44684</v>
      </c>
      <c r="M48" s="77">
        <v>4.5</v>
      </c>
      <c r="N48" s="80">
        <v>44741</v>
      </c>
      <c r="O48" s="84"/>
      <c r="P48" s="87"/>
      <c r="Q48" s="91"/>
      <c r="R48" s="94"/>
    </row>
    <row r="49" spans="2:19" x14ac:dyDescent="0.25">
      <c r="B49" s="749" t="s">
        <v>394</v>
      </c>
      <c r="C49" s="280" t="s">
        <v>4</v>
      </c>
      <c r="D49" s="801" cm="1">
        <f t="array" aca="1" ref="D49" ca="1">INDIRECT(ADDRESS(ROW(),MATCH(MAX(F49,H49,J49,L49,N49,P49,R49),E49:R49,0)-1+COLUMNS(A49:D49),4))</f>
        <v>4.5</v>
      </c>
      <c r="E49" s="372">
        <v>4.5</v>
      </c>
      <c r="F49" s="156">
        <v>44791</v>
      </c>
      <c r="G49" s="401"/>
      <c r="H49" s="447"/>
      <c r="I49" s="494"/>
      <c r="J49" s="495"/>
      <c r="K49" s="496"/>
      <c r="L49" s="497"/>
      <c r="M49" s="498"/>
      <c r="N49" s="499"/>
      <c r="O49" s="500"/>
      <c r="P49" s="501"/>
      <c r="Q49" s="502"/>
      <c r="R49" s="503"/>
    </row>
    <row r="50" spans="2:19" x14ac:dyDescent="0.25">
      <c r="B50" s="797" t="s">
        <v>40</v>
      </c>
      <c r="C50" s="280" t="s">
        <v>4</v>
      </c>
      <c r="D50" s="801" cm="1">
        <f t="array" aca="1" ref="D50" ca="1">INDIRECT(ADDRESS(ROW(),MATCH(MAX(F50,H50,J50,L50,N50,P50,R50),E50:R50,0)-1+COLUMNS(A50:D50),4))</f>
        <v>5.7</v>
      </c>
      <c r="E50" s="373">
        <v>2.8</v>
      </c>
      <c r="F50" s="173">
        <v>43837</v>
      </c>
      <c r="G50" s="576">
        <v>5.7</v>
      </c>
      <c r="H50" s="447">
        <v>44790</v>
      </c>
      <c r="I50" s="494"/>
      <c r="J50" s="495"/>
      <c r="K50" s="496"/>
      <c r="L50" s="497"/>
      <c r="M50" s="498"/>
      <c r="N50" s="499"/>
      <c r="O50" s="500"/>
      <c r="P50" s="501"/>
      <c r="Q50" s="502"/>
      <c r="R50" s="503"/>
    </row>
    <row r="51" spans="2:19" ht="15.75" thickBot="1" x14ac:dyDescent="0.3">
      <c r="B51" s="798" t="s">
        <v>368</v>
      </c>
      <c r="C51" s="376" t="s">
        <v>4</v>
      </c>
      <c r="D51" s="802" cm="1">
        <f t="array" aca="1" ref="D51" ca="1">INDIRECT(ADDRESS(ROW(),MATCH(MAX(F51,H51,J51,L51,N51,P51,R51),E51:R51,0)-1+COLUMNS(A51:D51),4))</f>
        <v>6</v>
      </c>
      <c r="E51" s="715">
        <v>6</v>
      </c>
      <c r="F51" s="736">
        <v>44741</v>
      </c>
      <c r="G51" s="142"/>
      <c r="H51" s="60"/>
      <c r="I51" s="143"/>
      <c r="J51" s="67"/>
      <c r="K51" s="144"/>
      <c r="L51" s="74"/>
      <c r="M51" s="145"/>
      <c r="N51" s="81"/>
      <c r="O51" s="146"/>
      <c r="P51" s="88"/>
      <c r="Q51" s="147"/>
      <c r="R51" s="96"/>
    </row>
    <row r="52" spans="2:19" ht="15.75" thickBot="1" x14ac:dyDescent="0.3">
      <c r="B52" s="13"/>
      <c r="C52" s="13"/>
      <c r="D52" s="13"/>
      <c r="E52" s="13"/>
    </row>
    <row r="53" spans="2:19" ht="16.5" thickBot="1" x14ac:dyDescent="0.3">
      <c r="B53" s="937" t="s">
        <v>240</v>
      </c>
      <c r="C53" s="938"/>
      <c r="D53" s="939"/>
      <c r="E53" s="101"/>
      <c r="F53" s="101"/>
    </row>
    <row r="54" spans="2:19" x14ac:dyDescent="0.25">
      <c r="B54" s="17" t="s">
        <v>28</v>
      </c>
      <c r="C54" s="18" t="s">
        <v>29</v>
      </c>
      <c r="D54" s="379" t="s">
        <v>133</v>
      </c>
      <c r="E54" s="769" t="s">
        <v>418</v>
      </c>
      <c r="F54" s="122" t="s">
        <v>178</v>
      </c>
      <c r="G54" s="940" t="s">
        <v>39</v>
      </c>
      <c r="H54" s="126" t="s">
        <v>178</v>
      </c>
      <c r="I54" s="942" t="s">
        <v>39</v>
      </c>
      <c r="J54" s="130" t="s">
        <v>178</v>
      </c>
      <c r="K54" s="944" t="s">
        <v>39</v>
      </c>
      <c r="L54" s="132" t="s">
        <v>178</v>
      </c>
      <c r="M54" s="931" t="s">
        <v>39</v>
      </c>
      <c r="N54" s="134" t="s">
        <v>178</v>
      </c>
      <c r="O54" s="929" t="s">
        <v>39</v>
      </c>
      <c r="P54" s="136" t="s">
        <v>178</v>
      </c>
      <c r="Q54" s="927" t="s">
        <v>39</v>
      </c>
      <c r="R54" s="138" t="s">
        <v>178</v>
      </c>
      <c r="S54" s="933" t="s">
        <v>39</v>
      </c>
    </row>
    <row r="55" spans="2:19" ht="15.75" thickBot="1" x14ac:dyDescent="0.3">
      <c r="B55" s="53"/>
      <c r="C55" s="21"/>
      <c r="D55" s="380"/>
      <c r="E55" s="788" t="s">
        <v>419</v>
      </c>
      <c r="F55" s="123" t="s">
        <v>179</v>
      </c>
      <c r="G55" s="941"/>
      <c r="H55" s="127" t="s">
        <v>179</v>
      </c>
      <c r="I55" s="943"/>
      <c r="J55" s="131" t="s">
        <v>179</v>
      </c>
      <c r="K55" s="945"/>
      <c r="L55" s="133" t="s">
        <v>179</v>
      </c>
      <c r="M55" s="932"/>
      <c r="N55" s="135" t="s">
        <v>179</v>
      </c>
      <c r="O55" s="930"/>
      <c r="P55" s="137" t="s">
        <v>179</v>
      </c>
      <c r="Q55" s="928"/>
      <c r="R55" s="139" t="s">
        <v>179</v>
      </c>
      <c r="S55" s="934"/>
    </row>
    <row r="56" spans="2:19" x14ac:dyDescent="0.25">
      <c r="B56" s="309" t="s">
        <v>186</v>
      </c>
      <c r="C56" s="310" t="s">
        <v>4</v>
      </c>
      <c r="D56" s="412" t="s">
        <v>134</v>
      </c>
      <c r="E56" s="775" cm="1">
        <f t="array" aca="1" ref="E56" ca="1">INDIRECT(ADDRESS(ROW(),MATCH(MAX(G56,I56,K56,M56,O56,Q56,S56),F56:S56,0)-1+COLUMNS(A56:E56),4))</f>
        <v>19.114000000000001</v>
      </c>
      <c r="F56" s="805">
        <f>3.8*Euro!B$3</f>
        <v>19.114000000000001</v>
      </c>
      <c r="G56" s="740">
        <v>44384</v>
      </c>
      <c r="H56" s="350"/>
      <c r="I56" s="381"/>
      <c r="J56" s="383"/>
      <c r="K56" s="353"/>
      <c r="L56" s="641"/>
      <c r="M56" s="385"/>
      <c r="N56" s="387"/>
      <c r="O56" s="356"/>
      <c r="P56" s="642"/>
      <c r="Q56" s="389"/>
      <c r="R56" s="390"/>
      <c r="S56" s="358"/>
    </row>
    <row r="57" spans="2:19" x14ac:dyDescent="0.25">
      <c r="B57" s="12" t="s">
        <v>5</v>
      </c>
      <c r="C57" s="33" t="s">
        <v>4</v>
      </c>
      <c r="D57" s="414" t="s">
        <v>344</v>
      </c>
      <c r="E57" s="808" cm="1">
        <f t="array" aca="1" ref="E57" ca="1">INDIRECT(ADDRESS(ROW(),MATCH(MAX(G57,I57,K57,M57,O57,Q57,S57),F57:S57,0)-1+COLUMNS(A57:E57),4))</f>
        <v>25.8</v>
      </c>
      <c r="F57" s="789">
        <f>2.9*Euro!B3</f>
        <v>14.587</v>
      </c>
      <c r="G57" s="432">
        <v>44248</v>
      </c>
      <c r="H57" s="54">
        <v>24</v>
      </c>
      <c r="I57" s="633">
        <v>44606</v>
      </c>
      <c r="J57" s="634">
        <v>26</v>
      </c>
      <c r="K57" s="495">
        <v>44700</v>
      </c>
      <c r="L57" s="635">
        <f>5.6*Euro!B3</f>
        <v>28.167999999999999</v>
      </c>
      <c r="M57" s="636">
        <v>44732</v>
      </c>
      <c r="N57" s="637">
        <v>25.8</v>
      </c>
      <c r="O57" s="499">
        <v>44932</v>
      </c>
      <c r="P57" s="638"/>
      <c r="Q57" s="639"/>
      <c r="R57" s="640"/>
      <c r="S57" s="503"/>
    </row>
    <row r="58" spans="2:19" ht="15.75" thickBot="1" x14ac:dyDescent="0.3">
      <c r="B58" s="19" t="s">
        <v>50</v>
      </c>
      <c r="C58" s="20" t="s">
        <v>4</v>
      </c>
      <c r="D58" s="712" t="s">
        <v>134</v>
      </c>
      <c r="E58" s="807" cm="1">
        <f t="array" aca="1" ref="E58" ca="1">INDIRECT(ADDRESS(ROW(),MATCH(MAX(G58,I58,K58,M58,O58,Q58,S58),F58:S58,0)-1+COLUMNS(A58:E58),4))</f>
        <v>27.162000000000003</v>
      </c>
      <c r="F58" s="806">
        <f>5.4*Euro!B$3</f>
        <v>27.162000000000003</v>
      </c>
      <c r="G58" s="741">
        <v>44732</v>
      </c>
      <c r="H58" s="110"/>
      <c r="I58" s="643"/>
      <c r="J58" s="384"/>
      <c r="K58" s="67"/>
      <c r="L58" s="644"/>
      <c r="M58" s="645"/>
      <c r="N58" s="388"/>
      <c r="O58" s="81"/>
      <c r="P58" s="646"/>
      <c r="Q58" s="647"/>
      <c r="R58" s="391"/>
      <c r="S58" s="96"/>
    </row>
    <row r="59" spans="2:19" ht="15.75" thickBot="1" x14ac:dyDescent="0.3">
      <c r="B59" s="13"/>
      <c r="C59" s="13"/>
      <c r="D59" s="13"/>
      <c r="E59" s="13"/>
    </row>
    <row r="60" spans="2:19" ht="16.5" thickBot="1" x14ac:dyDescent="0.3">
      <c r="B60" s="451" t="s">
        <v>248</v>
      </c>
      <c r="C60" s="452"/>
      <c r="D60" s="449"/>
      <c r="E60" s="101"/>
      <c r="F60" s="101"/>
    </row>
    <row r="61" spans="2:19" x14ac:dyDescent="0.25">
      <c r="B61" s="17" t="s">
        <v>28</v>
      </c>
      <c r="C61" s="18" t="s">
        <v>29</v>
      </c>
      <c r="D61" s="769" t="s">
        <v>418</v>
      </c>
      <c r="E61" s="122" t="s">
        <v>178</v>
      </c>
      <c r="F61" s="940" t="s">
        <v>39</v>
      </c>
      <c r="G61" s="126" t="s">
        <v>178</v>
      </c>
      <c r="H61" s="942" t="s">
        <v>39</v>
      </c>
      <c r="I61" s="130" t="s">
        <v>178</v>
      </c>
      <c r="J61" s="944" t="s">
        <v>39</v>
      </c>
      <c r="K61" s="132" t="s">
        <v>178</v>
      </c>
      <c r="L61" s="931" t="s">
        <v>39</v>
      </c>
      <c r="M61" s="134" t="s">
        <v>178</v>
      </c>
      <c r="N61" s="929" t="s">
        <v>39</v>
      </c>
      <c r="O61" s="136" t="s">
        <v>178</v>
      </c>
      <c r="P61" s="927" t="s">
        <v>39</v>
      </c>
      <c r="Q61" s="138" t="s">
        <v>178</v>
      </c>
      <c r="R61" s="933" t="s">
        <v>39</v>
      </c>
    </row>
    <row r="62" spans="2:19" ht="15.75" thickBot="1" x14ac:dyDescent="0.3">
      <c r="B62" s="53"/>
      <c r="C62" s="21"/>
      <c r="D62" s="278" t="s">
        <v>419</v>
      </c>
      <c r="E62" s="123" t="s">
        <v>179</v>
      </c>
      <c r="F62" s="941"/>
      <c r="G62" s="127" t="s">
        <v>179</v>
      </c>
      <c r="H62" s="943"/>
      <c r="I62" s="131" t="s">
        <v>179</v>
      </c>
      <c r="J62" s="945"/>
      <c r="K62" s="133" t="s">
        <v>179</v>
      </c>
      <c r="L62" s="932"/>
      <c r="M62" s="135" t="s">
        <v>179</v>
      </c>
      <c r="N62" s="930"/>
      <c r="O62" s="137" t="s">
        <v>179</v>
      </c>
      <c r="P62" s="928"/>
      <c r="Q62" s="139" t="s">
        <v>179</v>
      </c>
      <c r="R62" s="934"/>
    </row>
    <row r="63" spans="2:19" x14ac:dyDescent="0.25">
      <c r="B63" s="46" t="s">
        <v>384</v>
      </c>
      <c r="C63" s="25" t="s">
        <v>4</v>
      </c>
      <c r="D63" s="804" cm="1">
        <f t="array" aca="1" ref="D63" ca="1">INDIRECT(ADDRESS(ROW(),MATCH(MAX(F63,H63,J63,L63,N63,P63,R63),E63:R63,0)-1+COLUMNS(A63:D63),4))</f>
        <v>8.8025000000000002</v>
      </c>
      <c r="E63" s="453">
        <f>2.2*Euro!B$3</f>
        <v>11.066000000000001</v>
      </c>
      <c r="F63" s="742">
        <v>44438</v>
      </c>
      <c r="G63" s="454">
        <v>14.5</v>
      </c>
      <c r="H63" s="455">
        <v>44749</v>
      </c>
      <c r="I63" s="456">
        <f>1.75*Euro!B3</f>
        <v>8.8025000000000002</v>
      </c>
      <c r="J63" s="457">
        <v>44964</v>
      </c>
      <c r="K63" s="458"/>
      <c r="L63" s="459"/>
      <c r="M63" s="460"/>
      <c r="N63" s="461"/>
      <c r="O63" s="462"/>
      <c r="P63" s="463"/>
      <c r="Q63" s="464"/>
      <c r="R63" s="465"/>
    </row>
    <row r="64" spans="2:19" ht="15.75" thickBot="1" x14ac:dyDescent="0.3">
      <c r="I64" s="545" t="s">
        <v>442</v>
      </c>
    </row>
    <row r="65" spans="2:10" ht="15.75" thickBot="1" x14ac:dyDescent="0.3">
      <c r="B65" s="866"/>
      <c r="C65" s="867"/>
      <c r="D65" s="860" t="s">
        <v>432</v>
      </c>
      <c r="E65" s="861" t="s">
        <v>29</v>
      </c>
      <c r="F65" s="861" t="s">
        <v>426</v>
      </c>
      <c r="G65" s="861" t="s">
        <v>427</v>
      </c>
      <c r="H65" s="862" t="s">
        <v>428</v>
      </c>
      <c r="I65" s="863" t="s">
        <v>429</v>
      </c>
      <c r="J65" s="863" t="s">
        <v>430</v>
      </c>
    </row>
    <row r="66" spans="2:10" ht="16.5" thickBot="1" x14ac:dyDescent="0.3">
      <c r="B66" s="935" t="s">
        <v>424</v>
      </c>
      <c r="C66" s="936"/>
      <c r="D66" s="865" t="s">
        <v>508</v>
      </c>
      <c r="E66" s="695" t="s">
        <v>4</v>
      </c>
      <c r="F66" s="864"/>
      <c r="G66" s="859">
        <v>3.91</v>
      </c>
      <c r="H66" s="864">
        <f>G66*F66</f>
        <v>0</v>
      </c>
      <c r="I66" s="864"/>
      <c r="J66" s="864"/>
    </row>
  </sheetData>
  <mergeCells count="26">
    <mergeCell ref="B66:C66"/>
    <mergeCell ref="C4:C5"/>
    <mergeCell ref="N61:N62"/>
    <mergeCell ref="P61:P62"/>
    <mergeCell ref="R61:R62"/>
    <mergeCell ref="F61:F62"/>
    <mergeCell ref="H61:H62"/>
    <mergeCell ref="J61:J62"/>
    <mergeCell ref="L61:L62"/>
    <mergeCell ref="F4:F5"/>
    <mergeCell ref="B3:C3"/>
    <mergeCell ref="S54:S55"/>
    <mergeCell ref="R4:R5"/>
    <mergeCell ref="G54:G55"/>
    <mergeCell ref="B53:D53"/>
    <mergeCell ref="I54:I55"/>
    <mergeCell ref="K54:K55"/>
    <mergeCell ref="M54:M55"/>
    <mergeCell ref="O54:O55"/>
    <mergeCell ref="Q54:Q55"/>
    <mergeCell ref="H4:H5"/>
    <mergeCell ref="J4:J5"/>
    <mergeCell ref="L4:L5"/>
    <mergeCell ref="N4:N5"/>
    <mergeCell ref="P4:P5"/>
    <mergeCell ref="B4:B5"/>
  </mergeCells>
  <phoneticPr fontId="2" type="noConversion"/>
  <hyperlinks>
    <hyperlink ref="A1" location="CUPRINS!A1" display="CUPRINS" xr:uid="{71D80EA1-C978-496C-932F-843EC2DD379F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B6DF-C8EF-4A5E-8B75-D988718F2247}">
  <sheetPr codeName="Sheet11"/>
  <dimension ref="A1:S14"/>
  <sheetViews>
    <sheetView workbookViewId="0"/>
  </sheetViews>
  <sheetFormatPr defaultRowHeight="15" x14ac:dyDescent="0.25"/>
  <cols>
    <col min="2" max="2" width="30.7109375" customWidth="1"/>
    <col min="5" max="5" width="18.5703125" customWidth="1"/>
    <col min="6" max="6" width="34.140625" customWidth="1"/>
    <col min="7" max="7" width="13.5703125" customWidth="1"/>
    <col min="8" max="8" width="14.5703125" customWidth="1"/>
    <col min="10" max="10" width="15.85546875" customWidth="1"/>
    <col min="12" max="12" width="15.7109375" customWidth="1"/>
    <col min="14" max="14" width="16.42578125" customWidth="1"/>
    <col min="16" max="16" width="16" customWidth="1"/>
    <col min="18" max="18" width="17.85546875" customWidth="1"/>
  </cols>
  <sheetData>
    <row r="1" spans="1:19" ht="15.75" thickBot="1" x14ac:dyDescent="0.3">
      <c r="A1" s="445" t="s">
        <v>199</v>
      </c>
    </row>
    <row r="2" spans="1:19" ht="15.75" thickBot="1" x14ac:dyDescent="0.3">
      <c r="B2" s="967" t="s">
        <v>224</v>
      </c>
      <c r="C2" s="968"/>
      <c r="D2" s="43"/>
      <c r="E2" s="43"/>
      <c r="F2" s="101"/>
      <c r="G2" s="101"/>
    </row>
    <row r="3" spans="1:19" ht="15.75" thickBot="1" x14ac:dyDescent="0.3">
      <c r="B3" s="946" t="s">
        <v>28</v>
      </c>
      <c r="C3" s="948" t="s">
        <v>29</v>
      </c>
      <c r="D3" s="619" t="s">
        <v>354</v>
      </c>
      <c r="E3" s="769" t="s">
        <v>418</v>
      </c>
      <c r="F3" s="122" t="s">
        <v>178</v>
      </c>
      <c r="G3" s="940" t="s">
        <v>39</v>
      </c>
      <c r="H3" s="126" t="s">
        <v>178</v>
      </c>
      <c r="I3" s="942" t="s">
        <v>39</v>
      </c>
      <c r="J3" s="130" t="s">
        <v>178</v>
      </c>
      <c r="K3" s="944" t="s">
        <v>39</v>
      </c>
      <c r="L3" s="132" t="s">
        <v>178</v>
      </c>
      <c r="M3" s="931" t="s">
        <v>39</v>
      </c>
      <c r="N3" s="134" t="s">
        <v>178</v>
      </c>
      <c r="O3" s="929" t="s">
        <v>39</v>
      </c>
      <c r="P3" s="136" t="s">
        <v>178</v>
      </c>
      <c r="Q3" s="969" t="s">
        <v>39</v>
      </c>
      <c r="R3" s="138" t="s">
        <v>178</v>
      </c>
      <c r="S3" s="933" t="s">
        <v>39</v>
      </c>
    </row>
    <row r="4" spans="1:19" ht="15.75" thickBot="1" x14ac:dyDescent="0.3">
      <c r="B4" s="947"/>
      <c r="C4" s="949"/>
      <c r="D4" s="618" t="s">
        <v>355</v>
      </c>
      <c r="E4" s="278" t="s">
        <v>419</v>
      </c>
      <c r="F4" s="123" t="s">
        <v>179</v>
      </c>
      <c r="G4" s="941"/>
      <c r="H4" s="127" t="s">
        <v>179</v>
      </c>
      <c r="I4" s="943"/>
      <c r="J4" s="131" t="s">
        <v>179</v>
      </c>
      <c r="K4" s="945"/>
      <c r="L4" s="133" t="s">
        <v>179</v>
      </c>
      <c r="M4" s="932"/>
      <c r="N4" s="135" t="s">
        <v>179</v>
      </c>
      <c r="O4" s="930"/>
      <c r="P4" s="137" t="s">
        <v>179</v>
      </c>
      <c r="Q4" s="970"/>
      <c r="R4" s="139" t="s">
        <v>179</v>
      </c>
      <c r="S4" s="934"/>
    </row>
    <row r="5" spans="1:19" ht="15.75" thickBot="1" x14ac:dyDescent="0.3">
      <c r="B5" s="27" t="s">
        <v>404</v>
      </c>
      <c r="C5" s="28" t="s">
        <v>41</v>
      </c>
      <c r="D5" s="28">
        <v>1.98</v>
      </c>
      <c r="E5" s="28" cm="1">
        <f t="array" aca="1" ref="E5" ca="1">INDIRECT(ADDRESS(ROW(),MATCH(MAX(G5,I5,K5,M5,O5,Q5,S5),F5:S5,0)-1+COLUMNS(A5:E5),4))</f>
        <v>53</v>
      </c>
      <c r="F5" s="272">
        <v>66</v>
      </c>
      <c r="G5" s="581">
        <v>44999</v>
      </c>
      <c r="H5" s="617">
        <v>53</v>
      </c>
      <c r="I5" s="59">
        <v>45190</v>
      </c>
      <c r="J5" s="686"/>
      <c r="K5" s="66"/>
      <c r="L5" s="72"/>
      <c r="M5" s="73"/>
      <c r="N5" s="79"/>
      <c r="O5" s="80"/>
      <c r="P5" s="86"/>
      <c r="Q5" s="87"/>
      <c r="R5" s="303"/>
      <c r="S5" s="90"/>
    </row>
    <row r="6" spans="1:19" x14ac:dyDescent="0.25">
      <c r="B6" s="27" t="s">
        <v>452</v>
      </c>
      <c r="C6" s="28" t="s">
        <v>41</v>
      </c>
      <c r="D6" s="28">
        <v>1.6</v>
      </c>
      <c r="E6" s="28" cm="1">
        <f t="array" aca="1" ref="E6" ca="1">INDIRECT(ADDRESS(ROW(),MATCH(MAX(G6,I6,K6,M6,O6,Q6,S6),F6:S6,0)-1+COLUMNS(A6:E6),4))</f>
        <v>80</v>
      </c>
      <c r="F6" s="272">
        <v>65</v>
      </c>
      <c r="G6" s="581">
        <v>44356</v>
      </c>
      <c r="H6" s="617">
        <v>129</v>
      </c>
      <c r="I6" s="59">
        <v>44719</v>
      </c>
      <c r="J6" s="686">
        <v>80</v>
      </c>
      <c r="K6" s="66">
        <v>44889</v>
      </c>
      <c r="L6" s="72"/>
      <c r="M6" s="73"/>
      <c r="N6" s="79"/>
      <c r="O6" s="80"/>
      <c r="P6" s="86"/>
      <c r="Q6" s="87"/>
      <c r="R6" s="303"/>
      <c r="S6" s="90"/>
    </row>
    <row r="7" spans="1:19" x14ac:dyDescent="0.25">
      <c r="B7" s="27" t="s">
        <v>405</v>
      </c>
      <c r="C7" s="28" t="s">
        <v>41</v>
      </c>
      <c r="D7" s="28">
        <v>1.1000000000000001</v>
      </c>
      <c r="E7" s="28" cm="1">
        <f t="array" aca="1" ref="E7" ca="1">INDIRECT(ADDRESS(ROW(),MATCH(MAX(G7,I7,K7,M7,O7,Q7,S7),F7:S7,0)-1+COLUMNS(A7:E7),4))</f>
        <v>75</v>
      </c>
      <c r="F7" s="272">
        <v>75</v>
      </c>
      <c r="G7" s="581">
        <v>44315</v>
      </c>
      <c r="H7" s="58"/>
      <c r="I7" s="59"/>
      <c r="J7" s="65"/>
      <c r="K7" s="66"/>
      <c r="L7" s="72"/>
      <c r="M7" s="73"/>
      <c r="N7" s="79"/>
      <c r="O7" s="80"/>
      <c r="P7" s="86"/>
      <c r="Q7" s="87"/>
      <c r="R7" s="93"/>
      <c r="S7" s="94"/>
    </row>
    <row r="8" spans="1:19" ht="17.25" x14ac:dyDescent="0.25">
      <c r="B8" s="29" t="s">
        <v>12</v>
      </c>
      <c r="C8" s="30" t="s">
        <v>86</v>
      </c>
      <c r="D8" s="30"/>
      <c r="E8" s="30"/>
      <c r="F8" s="273">
        <f>43.55</f>
        <v>43.55</v>
      </c>
      <c r="G8" s="274" t="s">
        <v>84</v>
      </c>
      <c r="H8" s="56"/>
      <c r="I8" s="59"/>
      <c r="J8" s="63"/>
      <c r="K8" s="66"/>
      <c r="L8" s="70"/>
      <c r="M8" s="73"/>
      <c r="N8" s="77"/>
      <c r="O8" s="80"/>
      <c r="P8" s="84"/>
      <c r="Q8" s="87"/>
      <c r="R8" s="91"/>
      <c r="S8" s="94"/>
    </row>
    <row r="9" spans="1:19" ht="18" thickBot="1" x14ac:dyDescent="0.3">
      <c r="B9" s="31" t="s">
        <v>11</v>
      </c>
      <c r="C9" s="32" t="s">
        <v>86</v>
      </c>
      <c r="D9" s="32"/>
      <c r="E9" s="32"/>
      <c r="F9" s="275">
        <v>34.799999999999997</v>
      </c>
      <c r="G9" s="276" t="s">
        <v>84</v>
      </c>
      <c r="H9" s="142"/>
      <c r="I9" s="60"/>
      <c r="J9" s="143"/>
      <c r="K9" s="67"/>
      <c r="L9" s="144"/>
      <c r="M9" s="74"/>
      <c r="N9" s="145"/>
      <c r="O9" s="81"/>
      <c r="P9" s="146"/>
      <c r="Q9" s="88"/>
      <c r="R9" s="147"/>
      <c r="S9" s="96"/>
    </row>
    <row r="10" spans="1:19" x14ac:dyDescent="0.25">
      <c r="H10" s="43"/>
      <c r="I10" s="141"/>
      <c r="J10" s="43"/>
      <c r="K10" s="141"/>
      <c r="L10" s="43"/>
      <c r="M10" s="141"/>
      <c r="N10" s="43"/>
      <c r="O10" s="141"/>
      <c r="P10" s="43"/>
      <c r="Q10" s="141"/>
      <c r="R10" s="43"/>
      <c r="S10" s="141"/>
    </row>
    <row r="11" spans="1:19" x14ac:dyDescent="0.25">
      <c r="H11" s="43"/>
      <c r="I11" s="141"/>
      <c r="J11" s="43"/>
      <c r="K11" s="141"/>
      <c r="L11" s="43"/>
      <c r="M11" s="141"/>
      <c r="N11" s="43"/>
      <c r="O11" s="141"/>
      <c r="P11" s="43"/>
      <c r="Q11" s="141"/>
      <c r="R11" s="43"/>
      <c r="S11" s="141"/>
    </row>
    <row r="12" spans="1:19" x14ac:dyDescent="0.25">
      <c r="H12" s="43"/>
      <c r="I12" s="141"/>
      <c r="J12" s="43"/>
      <c r="K12" s="141"/>
      <c r="L12" s="43"/>
      <c r="M12" s="141"/>
      <c r="N12" s="43"/>
      <c r="O12" s="141"/>
      <c r="P12" s="43"/>
      <c r="Q12" s="141"/>
      <c r="R12" s="43"/>
      <c r="S12" s="141"/>
    </row>
    <row r="13" spans="1:19" x14ac:dyDescent="0.25">
      <c r="D13" s="620"/>
      <c r="E13" s="620"/>
    </row>
    <row r="14" spans="1:19" x14ac:dyDescent="0.25">
      <c r="E14" s="548"/>
    </row>
  </sheetData>
  <mergeCells count="10">
    <mergeCell ref="B2:C2"/>
    <mergeCell ref="B3:B4"/>
    <mergeCell ref="C3:C4"/>
    <mergeCell ref="G3:G4"/>
    <mergeCell ref="S3:S4"/>
    <mergeCell ref="I3:I4"/>
    <mergeCell ref="K3:K4"/>
    <mergeCell ref="M3:M4"/>
    <mergeCell ref="O3:O4"/>
    <mergeCell ref="Q3:Q4"/>
  </mergeCells>
  <hyperlinks>
    <hyperlink ref="A1" location="CUPRINS!A1" display="CUPRINS" xr:uid="{FD18BF6F-E013-4C04-883B-895F7BE24C92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ECEC-B3C1-44C2-BE4C-F22BF4373534}">
  <sheetPr codeName="Sheet10"/>
  <dimension ref="A1:T39"/>
  <sheetViews>
    <sheetView zoomScaleNormal="100" workbookViewId="0"/>
  </sheetViews>
  <sheetFormatPr defaultRowHeight="15" x14ac:dyDescent="0.25"/>
  <cols>
    <col min="2" max="2" width="22.85546875" customWidth="1"/>
    <col min="4" max="4" width="31.140625" customWidth="1"/>
    <col min="5" max="5" width="21.7109375" customWidth="1"/>
    <col min="6" max="6" width="12.42578125" customWidth="1"/>
    <col min="7" max="7" width="23.28515625" customWidth="1"/>
    <col min="8" max="8" width="11.85546875" customWidth="1"/>
    <col min="9" max="9" width="12.42578125" customWidth="1"/>
    <col min="10" max="10" width="13.42578125" customWidth="1"/>
    <col min="11" max="11" width="11.85546875" customWidth="1"/>
    <col min="12" max="12" width="11.42578125" customWidth="1"/>
    <col min="13" max="14" width="12.7109375" customWidth="1"/>
    <col min="15" max="15" width="13.28515625" customWidth="1"/>
    <col min="16" max="16" width="11.28515625" customWidth="1"/>
    <col min="17" max="18" width="12" customWidth="1"/>
  </cols>
  <sheetData>
    <row r="1" spans="1:19" x14ac:dyDescent="0.25">
      <c r="A1" s="445" t="s">
        <v>199</v>
      </c>
      <c r="D1" s="731" t="s">
        <v>478</v>
      </c>
      <c r="E1" s="731"/>
      <c r="F1" s="731"/>
      <c r="G1" s="731"/>
    </row>
    <row r="2" spans="1:19" ht="15.75" thickBot="1" x14ac:dyDescent="0.3"/>
    <row r="3" spans="1:19" ht="16.5" thickBot="1" x14ac:dyDescent="0.3">
      <c r="B3" s="937" t="s">
        <v>225</v>
      </c>
      <c r="C3" s="938"/>
      <c r="D3" s="939"/>
      <c r="E3" s="770"/>
      <c r="F3" s="101"/>
      <c r="G3" s="101"/>
    </row>
    <row r="4" spans="1:19" x14ac:dyDescent="0.25">
      <c r="B4" s="946" t="s">
        <v>28</v>
      </c>
      <c r="C4" s="948" t="s">
        <v>29</v>
      </c>
      <c r="D4" s="105" t="s">
        <v>176</v>
      </c>
      <c r="E4" s="769" t="s">
        <v>418</v>
      </c>
      <c r="F4" s="122" t="s">
        <v>178</v>
      </c>
      <c r="G4" s="950" t="s">
        <v>39</v>
      </c>
      <c r="H4" s="126" t="s">
        <v>178</v>
      </c>
      <c r="I4" s="942" t="s">
        <v>39</v>
      </c>
      <c r="J4" s="130" t="s">
        <v>178</v>
      </c>
      <c r="K4" s="944" t="s">
        <v>39</v>
      </c>
      <c r="L4" s="132" t="s">
        <v>178</v>
      </c>
      <c r="M4" s="931" t="s">
        <v>39</v>
      </c>
      <c r="N4" s="134" t="s">
        <v>178</v>
      </c>
      <c r="O4" s="929" t="s">
        <v>39</v>
      </c>
      <c r="P4" s="136" t="s">
        <v>178</v>
      </c>
      <c r="Q4" s="927" t="s">
        <v>39</v>
      </c>
      <c r="R4" s="138" t="s">
        <v>178</v>
      </c>
      <c r="S4" s="933" t="s">
        <v>39</v>
      </c>
    </row>
    <row r="5" spans="1:19" ht="15.75" thickBot="1" x14ac:dyDescent="0.3">
      <c r="B5" s="947"/>
      <c r="C5" s="949"/>
      <c r="D5" s="52" t="s">
        <v>175</v>
      </c>
      <c r="E5" s="278" t="s">
        <v>419</v>
      </c>
      <c r="F5" s="123" t="s">
        <v>179</v>
      </c>
      <c r="G5" s="951"/>
      <c r="H5" s="127" t="s">
        <v>179</v>
      </c>
      <c r="I5" s="943"/>
      <c r="J5" s="131" t="s">
        <v>179</v>
      </c>
      <c r="K5" s="945"/>
      <c r="L5" s="133" t="s">
        <v>179</v>
      </c>
      <c r="M5" s="932"/>
      <c r="N5" s="135" t="s">
        <v>179</v>
      </c>
      <c r="O5" s="930"/>
      <c r="P5" s="137" t="s">
        <v>179</v>
      </c>
      <c r="Q5" s="928"/>
      <c r="R5" s="139" t="s">
        <v>179</v>
      </c>
      <c r="S5" s="934"/>
    </row>
    <row r="6" spans="1:19" ht="15.75" thickBot="1" x14ac:dyDescent="0.3">
      <c r="B6" s="974" t="s">
        <v>171</v>
      </c>
      <c r="C6" s="975"/>
      <c r="D6" s="976"/>
      <c r="E6" s="815"/>
    </row>
    <row r="7" spans="1:19" x14ac:dyDescent="0.25">
      <c r="B7" s="297" t="s">
        <v>172</v>
      </c>
      <c r="C7" s="44" t="s">
        <v>4</v>
      </c>
      <c r="D7" s="811">
        <v>10.7</v>
      </c>
      <c r="E7" s="814" cm="1">
        <f t="array" aca="1" ref="E7" ca="1">INDIRECT(ADDRESS(ROW(),MATCH(MAX(G7,I7,K7,M7,O7,,Q7,S7),F7:S7,0)-1+COLUMNS(A7:E7),4))</f>
        <v>4.8</v>
      </c>
      <c r="F7" s="812">
        <v>4.8</v>
      </c>
      <c r="G7" s="196">
        <v>44377</v>
      </c>
      <c r="H7" s="466"/>
      <c r="I7" s="176"/>
      <c r="J7" s="467"/>
      <c r="K7" s="178"/>
      <c r="L7" s="468"/>
      <c r="M7" s="180"/>
      <c r="N7" s="469"/>
      <c r="O7" s="182"/>
      <c r="P7" s="470"/>
      <c r="Q7" s="184"/>
      <c r="R7" s="471"/>
      <c r="S7" s="186"/>
    </row>
    <row r="8" spans="1:19" ht="15.75" thickBot="1" x14ac:dyDescent="0.3">
      <c r="B8" s="297" t="s">
        <v>440</v>
      </c>
      <c r="C8" s="44" t="s">
        <v>4</v>
      </c>
      <c r="D8" s="811">
        <v>10.7</v>
      </c>
      <c r="E8" s="787" cm="1">
        <f t="array" aca="1" ref="E8" ca="1">INDIRECT(ADDRESS(ROW(),MATCH(MAX(G8,I8,K8,M8,O8,,Q8,S8),F8:S8,0)-1+COLUMNS(A8:E8),4))</f>
        <v>7.2934999999999999</v>
      </c>
      <c r="F8" s="813">
        <f>1.095*Euro!B3</f>
        <v>5.5078500000000004</v>
      </c>
      <c r="G8" s="195">
        <v>44438</v>
      </c>
      <c r="H8" s="648">
        <f>1.45*Euro!B3</f>
        <v>7.2934999999999999</v>
      </c>
      <c r="I8" s="60">
        <v>44739</v>
      </c>
      <c r="J8" s="143"/>
      <c r="K8" s="472"/>
      <c r="L8" s="144"/>
      <c r="M8" s="473"/>
      <c r="N8" s="145"/>
      <c r="O8" s="474"/>
      <c r="P8" s="146"/>
      <c r="Q8" s="475"/>
      <c r="R8" s="147"/>
      <c r="S8" s="818"/>
    </row>
    <row r="9" spans="1:19" ht="15.75" thickBot="1" x14ac:dyDescent="0.3">
      <c r="B9" s="977" t="s">
        <v>51</v>
      </c>
      <c r="C9" s="978"/>
      <c r="D9" s="978"/>
      <c r="E9" s="815"/>
    </row>
    <row r="10" spans="1:19" x14ac:dyDescent="0.25">
      <c r="B10" s="48" t="s">
        <v>56</v>
      </c>
      <c r="C10" s="35" t="s">
        <v>4</v>
      </c>
      <c r="D10" s="810">
        <v>15.138999999999999</v>
      </c>
      <c r="E10" s="816" cm="1">
        <f t="array" aca="1" ref="E10" ca="1">INDIRECT(ADDRESS(ROW(),MATCH(MAX(G10,I10,K10,M10,O10,,Q10,S10),F10:S10,0)-1+COLUMNS(A10:E10),4))</f>
        <v>2.7</v>
      </c>
      <c r="F10" s="812">
        <v>2.7</v>
      </c>
      <c r="G10" s="743">
        <v>43843</v>
      </c>
      <c r="H10" s="615"/>
      <c r="I10" s="352"/>
      <c r="J10" s="467"/>
      <c r="K10" s="353"/>
      <c r="L10" s="468"/>
      <c r="M10" s="538"/>
      <c r="N10" s="469"/>
      <c r="O10" s="356"/>
      <c r="P10" s="470"/>
      <c r="Q10" s="542"/>
      <c r="R10" s="471"/>
      <c r="S10" s="358"/>
    </row>
    <row r="11" spans="1:19" x14ac:dyDescent="0.25">
      <c r="B11" s="41" t="s">
        <v>439</v>
      </c>
      <c r="C11" s="8" t="s">
        <v>4</v>
      </c>
      <c r="D11" s="431">
        <v>12.238</v>
      </c>
      <c r="E11" s="816" cm="1">
        <f t="array" aca="1" ref="E11" ca="1">INDIRECT(ADDRESS(ROW(),MATCH(MAX(G11,I11,K11,M11,O11,,Q11,S11),F11:S11,0)-1+COLUMNS(A11:E11),4))</f>
        <v>4.5999999999999996</v>
      </c>
      <c r="F11" s="766">
        <v>4.8</v>
      </c>
      <c r="G11" s="102">
        <v>44890</v>
      </c>
      <c r="H11" s="56">
        <v>4.5999999999999996</v>
      </c>
      <c r="I11" s="59">
        <v>44907</v>
      </c>
      <c r="J11" s="63"/>
      <c r="K11" s="66"/>
      <c r="L11" s="70"/>
      <c r="M11" s="73"/>
      <c r="N11" s="77"/>
      <c r="O11" s="80"/>
      <c r="P11" s="84"/>
      <c r="Q11" s="87"/>
      <c r="R11" s="91"/>
      <c r="S11" s="94"/>
    </row>
    <row r="12" spans="1:19" x14ac:dyDescent="0.25">
      <c r="B12" s="41" t="s">
        <v>477</v>
      </c>
      <c r="C12" s="8" t="s">
        <v>4</v>
      </c>
      <c r="D12" s="431">
        <v>9.3699999999999992</v>
      </c>
      <c r="E12" s="816" cm="1">
        <f t="array" aca="1" ref="E12" ca="1">INDIRECT(ADDRESS(ROW(),MATCH(MAX(G12,I12,K12,M12,O12,,Q12,S12),F12:S12,0)-1+COLUMNS(A12:E12),4))</f>
        <v>6.11</v>
      </c>
      <c r="F12" s="766">
        <v>6.11</v>
      </c>
      <c r="G12" s="102">
        <v>45075</v>
      </c>
      <c r="H12" s="56"/>
      <c r="I12" s="59"/>
      <c r="J12" s="63"/>
      <c r="K12" s="66"/>
      <c r="L12" s="70"/>
      <c r="M12" s="73"/>
      <c r="N12" s="77"/>
      <c r="O12" s="80"/>
      <c r="P12" s="84"/>
      <c r="Q12" s="87"/>
      <c r="R12" s="91"/>
      <c r="S12" s="94"/>
    </row>
    <row r="13" spans="1:19" x14ac:dyDescent="0.25">
      <c r="B13" s="41" t="s">
        <v>476</v>
      </c>
      <c r="C13" s="8" t="s">
        <v>4</v>
      </c>
      <c r="D13" s="431">
        <v>8.8119999999999994</v>
      </c>
      <c r="E13" s="816" cm="1">
        <f t="array" aca="1" ref="E13" ca="1">INDIRECT(ADDRESS(ROW(),MATCH(MAX(G13,I13,K13,M13,O13,,Q13,S13),F13:S13,0)-1+COLUMNS(A13:E13),4))</f>
        <v>6.11</v>
      </c>
      <c r="F13" s="766">
        <v>6.11</v>
      </c>
      <c r="G13" s="102">
        <v>45075</v>
      </c>
      <c r="H13" s="56"/>
      <c r="I13" s="59"/>
      <c r="J13" s="63"/>
      <c r="K13" s="66"/>
      <c r="L13" s="70"/>
      <c r="M13" s="73"/>
      <c r="N13" s="77"/>
      <c r="O13" s="80"/>
      <c r="P13" s="84"/>
      <c r="Q13" s="87"/>
      <c r="R13" s="91"/>
      <c r="S13" s="94"/>
    </row>
    <row r="14" spans="1:19" x14ac:dyDescent="0.25">
      <c r="B14" s="41" t="s">
        <v>106</v>
      </c>
      <c r="C14" s="8" t="s">
        <v>4</v>
      </c>
      <c r="D14" s="431">
        <v>9.6890000000000001</v>
      </c>
      <c r="E14" s="816" cm="1">
        <f t="array" aca="1" ref="E14" ca="1">INDIRECT(ADDRESS(ROW(),MATCH(MAX(G14,I14,K14,M14,O14,,Q14,S14),F14:S14,0)-1+COLUMNS(A14:E14),4))</f>
        <v>4.2</v>
      </c>
      <c r="F14" s="766">
        <v>5.0999999999999996</v>
      </c>
      <c r="G14" s="102">
        <v>44811</v>
      </c>
      <c r="H14" s="56">
        <v>4.7</v>
      </c>
      <c r="I14" s="59">
        <v>44819</v>
      </c>
      <c r="J14" s="63">
        <v>4.95</v>
      </c>
      <c r="K14" s="66">
        <v>44847</v>
      </c>
      <c r="L14" s="70">
        <v>4.8</v>
      </c>
      <c r="M14" s="73">
        <v>44889</v>
      </c>
      <c r="N14" s="77">
        <v>4.5999999999999996</v>
      </c>
      <c r="O14" s="80">
        <v>44936</v>
      </c>
      <c r="P14" s="84">
        <v>4.3</v>
      </c>
      <c r="Q14" s="87">
        <v>45077</v>
      </c>
      <c r="R14" s="91">
        <v>4.2</v>
      </c>
      <c r="S14" s="94">
        <v>45106</v>
      </c>
    </row>
    <row r="15" spans="1:19" x14ac:dyDescent="0.25">
      <c r="B15" s="41" t="s">
        <v>441</v>
      </c>
      <c r="C15" s="8" t="s">
        <v>4</v>
      </c>
      <c r="D15" s="431">
        <v>7.4180000000000001</v>
      </c>
      <c r="E15" s="816" cm="1">
        <f t="array" aca="1" ref="E15" ca="1">INDIRECT(ADDRESS(ROW(),MATCH(MAX(G15,I15,K15,M15,O15,,Q15,S15),F15:S15,0)-1+COLUMNS(A15:E15),4))</f>
        <v>4.12</v>
      </c>
      <c r="F15" s="766">
        <v>2.7</v>
      </c>
      <c r="G15" s="102">
        <v>43852</v>
      </c>
      <c r="H15" s="56">
        <v>4.95</v>
      </c>
      <c r="I15" s="59">
        <v>44719</v>
      </c>
      <c r="J15" s="63">
        <v>6.9</v>
      </c>
      <c r="K15" s="66">
        <v>44827</v>
      </c>
      <c r="L15" s="70">
        <v>4.5</v>
      </c>
      <c r="M15" s="73">
        <v>45051</v>
      </c>
      <c r="N15" s="77">
        <v>4.12</v>
      </c>
      <c r="O15" s="80">
        <v>45090</v>
      </c>
      <c r="P15" s="84"/>
      <c r="Q15" s="87"/>
      <c r="R15" s="91"/>
      <c r="S15" s="94"/>
    </row>
    <row r="16" spans="1:19" x14ac:dyDescent="0.25">
      <c r="B16" s="41" t="s">
        <v>305</v>
      </c>
      <c r="C16" s="8" t="s">
        <v>4</v>
      </c>
      <c r="D16" s="431">
        <v>5.45</v>
      </c>
      <c r="E16" s="816" cm="1">
        <f t="array" aca="1" ref="E16" ca="1">INDIRECT(ADDRESS(ROW(),MATCH(MAX(G16,I16,K16,M16,O16,,Q16,S16),F16:S16,0)-1+COLUMNS(A16:E16),4))</f>
        <v>4.2</v>
      </c>
      <c r="F16" s="766">
        <v>4.26</v>
      </c>
      <c r="G16" s="102">
        <v>44592</v>
      </c>
      <c r="H16" s="56">
        <v>4.2</v>
      </c>
      <c r="I16" s="59">
        <v>44889</v>
      </c>
      <c r="J16" s="63"/>
      <c r="K16" s="66"/>
      <c r="L16" s="70"/>
      <c r="M16" s="73"/>
      <c r="N16" s="77"/>
      <c r="O16" s="80"/>
      <c r="P16" s="84"/>
      <c r="Q16" s="87"/>
      <c r="R16" s="91"/>
      <c r="S16" s="94"/>
    </row>
    <row r="17" spans="2:19" x14ac:dyDescent="0.25">
      <c r="B17" s="41" t="s">
        <v>250</v>
      </c>
      <c r="C17" s="8" t="s">
        <v>4</v>
      </c>
      <c r="D17" s="431">
        <v>4.5810000000000004</v>
      </c>
      <c r="E17" s="816" cm="1">
        <f t="array" aca="1" ref="E17" ca="1">INDIRECT(ADDRESS(ROW(),MATCH(MAX(G17,I17,K17,M17,O17,,Q17,S17),F17:S17,0)-1+COLUMNS(A17:E17),4))</f>
        <v>3.69</v>
      </c>
      <c r="F17" s="766">
        <v>3.86</v>
      </c>
      <c r="G17" s="102">
        <v>44442</v>
      </c>
      <c r="H17" s="56">
        <v>3.69</v>
      </c>
      <c r="I17" s="59">
        <v>44455</v>
      </c>
      <c r="J17" s="63"/>
      <c r="K17" s="66"/>
      <c r="L17" s="70"/>
      <c r="M17" s="73"/>
      <c r="N17" s="77"/>
      <c r="O17" s="80"/>
      <c r="P17" s="84"/>
      <c r="Q17" s="87"/>
      <c r="R17" s="91"/>
      <c r="S17" s="94"/>
    </row>
    <row r="18" spans="2:19" x14ac:dyDescent="0.25">
      <c r="B18" s="41" t="s">
        <v>114</v>
      </c>
      <c r="C18" s="8" t="s">
        <v>4</v>
      </c>
      <c r="D18" s="431">
        <v>3.7850000000000001</v>
      </c>
      <c r="E18" s="816" cm="1">
        <f t="array" aca="1" ref="E18" ca="1">INDIRECT(ADDRESS(ROW(),MATCH(MAX(G18,I18,K18,M18,O18,,Q18,S18),F18:S18,0)-1+COLUMNS(A18:E18),4))</f>
        <v>4.2</v>
      </c>
      <c r="F18" s="766">
        <v>5.3</v>
      </c>
      <c r="G18" s="102">
        <v>44700</v>
      </c>
      <c r="H18" s="56">
        <v>4.7</v>
      </c>
      <c r="I18" s="59">
        <v>44819</v>
      </c>
      <c r="J18" s="63">
        <v>4.4000000000000004</v>
      </c>
      <c r="K18" s="66">
        <v>44847</v>
      </c>
      <c r="L18" s="70">
        <v>4.3</v>
      </c>
      <c r="M18" s="73">
        <v>44936</v>
      </c>
      <c r="N18" s="77">
        <v>4.5599999999999996</v>
      </c>
      <c r="O18" s="80">
        <v>45007</v>
      </c>
      <c r="P18" s="84">
        <v>4.5</v>
      </c>
      <c r="Q18" s="87">
        <v>45051</v>
      </c>
      <c r="R18" s="91">
        <v>4.2</v>
      </c>
      <c r="S18" s="94">
        <v>45090</v>
      </c>
    </row>
    <row r="19" spans="2:19" x14ac:dyDescent="0.25">
      <c r="B19" s="41" t="s">
        <v>193</v>
      </c>
      <c r="C19" s="8" t="s">
        <v>4</v>
      </c>
      <c r="D19" s="431">
        <v>2.1030000000000002</v>
      </c>
      <c r="E19" s="816" cm="1">
        <f t="array" aca="1" ref="E19" ca="1">INDIRECT(ADDRESS(ROW(),MATCH(MAX(G19,I19,K19,M19,O19,,Q19,S19),F19:S19,0)-1+COLUMNS(A19:E19),4))</f>
        <v>4.5</v>
      </c>
      <c r="F19" s="766">
        <v>4.2</v>
      </c>
      <c r="G19" s="102">
        <v>44391</v>
      </c>
      <c r="H19" s="56">
        <v>3.9</v>
      </c>
      <c r="I19" s="59">
        <v>44438</v>
      </c>
      <c r="J19" s="63">
        <v>4.5</v>
      </c>
      <c r="K19" s="66">
        <v>45007</v>
      </c>
      <c r="L19" s="70"/>
      <c r="M19" s="73"/>
      <c r="N19" s="77"/>
      <c r="O19" s="80"/>
      <c r="P19" s="84"/>
      <c r="Q19" s="87"/>
      <c r="R19" s="91"/>
      <c r="S19" s="94"/>
    </row>
    <row r="20" spans="2:19" x14ac:dyDescent="0.25">
      <c r="B20" s="41" t="s">
        <v>115</v>
      </c>
      <c r="C20" s="8" t="s">
        <v>4</v>
      </c>
      <c r="D20" s="431">
        <v>1.6020000000000001</v>
      </c>
      <c r="E20" s="816" cm="1">
        <f t="array" aca="1" ref="E20" ca="1">INDIRECT(ADDRESS(ROW(),MATCH(MAX(G20,I20,K20,M20,O20,,Q20,S20),F20:S20,0)-1+COLUMNS(A20:E20),4))</f>
        <v>3.7199999999999998</v>
      </c>
      <c r="F20" s="766">
        <f>3.1*1.2</f>
        <v>3.7199999999999998</v>
      </c>
      <c r="G20" s="102">
        <v>44139</v>
      </c>
      <c r="H20" s="58"/>
      <c r="I20" s="59"/>
      <c r="J20" s="65"/>
      <c r="K20" s="66"/>
      <c r="L20" s="72"/>
      <c r="M20" s="73"/>
      <c r="N20" s="79"/>
      <c r="O20" s="80"/>
      <c r="P20" s="86"/>
      <c r="Q20" s="87"/>
      <c r="R20" s="93"/>
      <c r="S20" s="94"/>
    </row>
    <row r="21" spans="2:19" x14ac:dyDescent="0.25">
      <c r="B21" s="41" t="s">
        <v>116</v>
      </c>
      <c r="C21" s="8" t="s">
        <v>4</v>
      </c>
      <c r="D21" s="431">
        <v>1.3620000000000001</v>
      </c>
      <c r="E21" s="816" cm="1">
        <f t="array" aca="1" ref="E21" ca="1">INDIRECT(ADDRESS(ROW(),MATCH(MAX(G21,I21,K21,M21,O21,,Q21,S21),F21:S21,0)-1+COLUMNS(A21:E21),4))</f>
        <v>2.7</v>
      </c>
      <c r="F21" s="766">
        <v>2.7</v>
      </c>
      <c r="G21" s="102">
        <v>43850</v>
      </c>
      <c r="H21" s="56"/>
      <c r="I21" s="59"/>
      <c r="J21" s="63"/>
      <c r="K21" s="66"/>
      <c r="L21" s="70"/>
      <c r="M21" s="73"/>
      <c r="N21" s="77"/>
      <c r="O21" s="80"/>
      <c r="P21" s="84"/>
      <c r="Q21" s="87"/>
      <c r="R21" s="91"/>
      <c r="S21" s="94"/>
    </row>
    <row r="22" spans="2:19" ht="15.75" thickBot="1" x14ac:dyDescent="0.3">
      <c r="B22" s="4" t="s">
        <v>328</v>
      </c>
      <c r="C22" s="16" t="s">
        <v>4</v>
      </c>
      <c r="D22" s="809">
        <v>0.88400000000000001</v>
      </c>
      <c r="E22" s="817" cm="1">
        <f t="array" aca="1" ref="E22" ca="1">INDIRECT(ADDRESS(ROW(),MATCH(MAX(G22,I22,K22,M22,O22,,Q22,S22),F22:S22,0)-1+COLUMNS(A22:E22),4))</f>
        <v>5.8</v>
      </c>
      <c r="F22" s="768">
        <v>5.8</v>
      </c>
      <c r="G22" s="154">
        <v>44678</v>
      </c>
      <c r="H22" s="488"/>
      <c r="I22" s="489"/>
      <c r="J22" s="359"/>
      <c r="K22" s="360"/>
      <c r="L22" s="490"/>
      <c r="M22" s="491"/>
      <c r="N22" s="361"/>
      <c r="O22" s="362"/>
      <c r="P22" s="492"/>
      <c r="Q22" s="493"/>
      <c r="R22" s="95"/>
      <c r="S22" s="363"/>
    </row>
    <row r="23" spans="2:19" ht="15.75" thickBot="1" x14ac:dyDescent="0.3">
      <c r="B23" s="977" t="s">
        <v>181</v>
      </c>
      <c r="C23" s="978"/>
      <c r="D23" s="979"/>
      <c r="E23" s="815"/>
      <c r="H23" s="43"/>
      <c r="I23" s="141"/>
      <c r="J23" s="43"/>
      <c r="K23" s="141"/>
      <c r="L23" s="43"/>
      <c r="M23" s="141"/>
      <c r="N23" s="43"/>
      <c r="O23" s="141"/>
      <c r="P23" s="43"/>
      <c r="Q23" s="141"/>
      <c r="R23" s="43"/>
      <c r="S23" s="141"/>
    </row>
    <row r="24" spans="2:19" x14ac:dyDescent="0.25">
      <c r="B24" s="48" t="s">
        <v>304</v>
      </c>
      <c r="C24" s="49" t="s">
        <v>4</v>
      </c>
      <c r="D24" s="151">
        <v>10.827999999999999</v>
      </c>
      <c r="E24" s="151" cm="1">
        <f t="array" aca="1" ref="E24" ca="1">INDIRECT(ADDRESS(ROW(),MATCH(MAX(G24,I24,K24,M24,O24,,Q24,S24),F24:S24,0)-1+COLUMNS(A24:E24),4))</f>
        <v>7.9</v>
      </c>
      <c r="F24" s="152">
        <v>6.1</v>
      </c>
      <c r="G24" s="153">
        <v>44280</v>
      </c>
      <c r="H24" s="56">
        <v>7.9</v>
      </c>
      <c r="I24" s="59">
        <v>44592</v>
      </c>
      <c r="J24" s="299"/>
      <c r="K24" s="62"/>
      <c r="L24" s="300"/>
      <c r="M24" s="69"/>
      <c r="N24" s="301"/>
      <c r="O24" s="76"/>
      <c r="P24" s="302"/>
      <c r="Q24" s="83"/>
      <c r="R24" s="303"/>
      <c r="S24" s="90"/>
    </row>
    <row r="25" spans="2:19" ht="15.75" thickBot="1" x14ac:dyDescent="0.3">
      <c r="B25" s="24" t="s">
        <v>10</v>
      </c>
      <c r="C25" s="23" t="s">
        <v>4</v>
      </c>
      <c r="D25" s="304">
        <v>4.4939999999999998</v>
      </c>
      <c r="E25" s="304" cm="1">
        <f t="array" aca="1" ref="E25" ca="1">INDIRECT(ADDRESS(ROW(),MATCH(MAX(G25,I25,K25,M25,O25,,Q25,S25),F25:S25,0)-1+COLUMNS(A25:E25),4))</f>
        <v>4</v>
      </c>
      <c r="F25" s="148">
        <v>4</v>
      </c>
      <c r="G25" s="149">
        <v>44082</v>
      </c>
      <c r="H25" s="142"/>
      <c r="I25" s="60"/>
      <c r="J25" s="143"/>
      <c r="K25" s="67"/>
      <c r="L25" s="144"/>
      <c r="M25" s="74"/>
      <c r="N25" s="145"/>
      <c r="O25" s="81"/>
      <c r="P25" s="146"/>
      <c r="Q25" s="88"/>
      <c r="R25" s="147"/>
      <c r="S25" s="96"/>
    </row>
    <row r="26" spans="2:19" ht="15.75" thickBot="1" x14ac:dyDescent="0.3">
      <c r="B26" s="971" t="s">
        <v>144</v>
      </c>
      <c r="C26" s="972"/>
      <c r="D26" s="973"/>
      <c r="E26" s="815"/>
    </row>
    <row r="27" spans="2:19" x14ac:dyDescent="0.25">
      <c r="B27" s="12" t="s">
        <v>145</v>
      </c>
      <c r="C27" s="8" t="s">
        <v>4</v>
      </c>
      <c r="D27" s="47">
        <v>17.100000000000001</v>
      </c>
      <c r="E27" s="47" cm="1">
        <f t="array" aca="1" ref="E27" ca="1">INDIRECT(ADDRESS(ROW(),MATCH(MAX(G27,I27,K27,M27,O27,,Q27,S27),F27:S27,0)-1+COLUMNS(A27:E27),4))</f>
        <v>5</v>
      </c>
      <c r="F27" s="281">
        <v>5</v>
      </c>
      <c r="G27" s="740">
        <v>44344</v>
      </c>
      <c r="H27" s="298"/>
      <c r="I27" s="55"/>
      <c r="J27" s="299"/>
      <c r="K27" s="62"/>
      <c r="L27" s="300"/>
      <c r="M27" s="69"/>
      <c r="N27" s="301"/>
      <c r="O27" s="76"/>
      <c r="P27" s="302"/>
      <c r="Q27" s="83"/>
      <c r="R27" s="303"/>
      <c r="S27" s="90"/>
    </row>
    <row r="28" spans="2:19" ht="15.75" thickBot="1" x14ac:dyDescent="0.3">
      <c r="B28" s="12" t="s">
        <v>161</v>
      </c>
      <c r="C28" s="8" t="s">
        <v>4</v>
      </c>
      <c r="D28" s="47">
        <v>20.399999999999999</v>
      </c>
      <c r="E28" s="47" cm="1">
        <f t="array" aca="1" ref="E28" ca="1">INDIRECT(ADDRESS(ROW(),MATCH(MAX(G28,I28,K28,M28,O28,,Q28,S28),F28:S28,0)-1+COLUMNS(A28:E28),4))</f>
        <v>6.4</v>
      </c>
      <c r="F28" s="305">
        <v>6.4</v>
      </c>
      <c r="G28" s="741">
        <v>44334</v>
      </c>
      <c r="H28" s="142"/>
      <c r="I28" s="60"/>
      <c r="J28" s="143"/>
      <c r="K28" s="67"/>
      <c r="L28" s="144"/>
      <c r="M28" s="74"/>
      <c r="N28" s="145"/>
      <c r="O28" s="81"/>
      <c r="P28" s="146"/>
      <c r="Q28" s="88"/>
      <c r="R28" s="147"/>
      <c r="S28" s="96"/>
    </row>
    <row r="29" spans="2:19" ht="15.75" thickBot="1" x14ac:dyDescent="0.3">
      <c r="B29" s="974" t="s">
        <v>146</v>
      </c>
      <c r="C29" s="975"/>
      <c r="D29" s="976"/>
      <c r="E29" s="815"/>
    </row>
    <row r="30" spans="2:19" ht="15.75" thickBot="1" x14ac:dyDescent="0.3">
      <c r="B30" s="27" t="s">
        <v>147</v>
      </c>
      <c r="C30" s="44" t="s">
        <v>4</v>
      </c>
      <c r="D30" s="45">
        <v>43.7</v>
      </c>
      <c r="E30" s="817" cm="1">
        <f t="array" aca="1" ref="E30" ca="1">INDIRECT(ADDRESS(ROW(),MATCH(MAX(G30,I30,K30,M30,O30,,Q30,S30),F30:S30,0)-1+COLUMNS(A30:E30),4))</f>
        <v>4.7</v>
      </c>
      <c r="F30" s="295">
        <v>4.7</v>
      </c>
      <c r="G30" s="744">
        <v>44272</v>
      </c>
      <c r="H30" s="296"/>
      <c r="I30" s="260"/>
      <c r="J30" s="261"/>
      <c r="K30" s="262"/>
      <c r="L30" s="263"/>
      <c r="M30" s="264"/>
      <c r="N30" s="265"/>
      <c r="O30" s="266"/>
      <c r="P30" s="267"/>
      <c r="Q30" s="268"/>
      <c r="R30" s="269"/>
      <c r="S30" s="270"/>
    </row>
    <row r="31" spans="2:19" ht="15.75" thickBot="1" x14ac:dyDescent="0.3">
      <c r="B31" s="977" t="s">
        <v>327</v>
      </c>
      <c r="C31" s="978"/>
      <c r="D31" s="979"/>
      <c r="E31" s="815"/>
    </row>
    <row r="32" spans="2:19" x14ac:dyDescent="0.25">
      <c r="B32" s="50" t="s">
        <v>493</v>
      </c>
      <c r="C32" s="917" t="s">
        <v>4</v>
      </c>
      <c r="D32" s="918">
        <v>10.9</v>
      </c>
      <c r="E32" s="918" cm="1">
        <f t="array" aca="1" ref="E32" ca="1">INDIRECT(ADDRESS(ROW(),MATCH(MAX(G32,I32,K32,M32,O32,,Q32,S32),F32:S32,0)-1+COLUMNS(A32:E32),4))</f>
        <v>3.97</v>
      </c>
      <c r="F32" s="919">
        <v>3.97</v>
      </c>
      <c r="G32" s="196">
        <v>45181</v>
      </c>
      <c r="H32" s="615"/>
      <c r="I32" s="352"/>
      <c r="J32" s="467"/>
      <c r="K32" s="353"/>
      <c r="L32" s="468"/>
      <c r="M32" s="538"/>
      <c r="N32" s="469"/>
      <c r="O32" s="356"/>
      <c r="P32" s="470"/>
      <c r="Q32" s="542"/>
      <c r="R32" s="471"/>
      <c r="S32" s="358"/>
    </row>
    <row r="33" spans="2:20" x14ac:dyDescent="0.25">
      <c r="B33" s="12" t="s">
        <v>437</v>
      </c>
      <c r="C33" s="33" t="s">
        <v>4</v>
      </c>
      <c r="D33" s="920">
        <v>13.7</v>
      </c>
      <c r="E33" s="920" cm="1">
        <f t="array" aca="1" ref="E33" ca="1">INDIRECT(ADDRESS(ROW(),MATCH(MAX(G33,I33,K33,M33,O33,,Q33,S33),F33:S33,0)-1+COLUMNS(A33:E33),4))</f>
        <v>4.28</v>
      </c>
      <c r="F33" s="373">
        <v>4.28</v>
      </c>
      <c r="G33" s="156">
        <v>44334</v>
      </c>
      <c r="H33" s="56"/>
      <c r="I33" s="59"/>
      <c r="J33" s="63"/>
      <c r="K33" s="66"/>
      <c r="L33" s="70"/>
      <c r="M33" s="73"/>
      <c r="N33" s="77"/>
      <c r="O33" s="80"/>
      <c r="P33" s="84"/>
      <c r="Q33" s="87"/>
      <c r="R33" s="91"/>
      <c r="S33" s="94"/>
      <c r="T33" s="505"/>
    </row>
    <row r="34" spans="2:20" x14ac:dyDescent="0.25">
      <c r="B34" s="194" t="s">
        <v>436</v>
      </c>
      <c r="C34" s="25" t="s">
        <v>4</v>
      </c>
      <c r="D34" s="311">
        <v>19.3</v>
      </c>
      <c r="E34" s="311" cm="1">
        <f t="array" aca="1" ref="E34" ca="1">INDIRECT(ADDRESS(ROW(),MATCH(MAX(G34,I34,K34,M34,O34,,Q34,S34),F34:S34,0)-1+COLUMNS(A34:E34),4))</f>
        <v>4.28</v>
      </c>
      <c r="F34" s="307">
        <v>4.28</v>
      </c>
      <c r="G34" s="171">
        <v>44334</v>
      </c>
      <c r="H34" s="56"/>
      <c r="I34" s="59"/>
      <c r="J34" s="63"/>
      <c r="K34" s="66"/>
      <c r="L34" s="70"/>
      <c r="M34" s="73"/>
      <c r="N34" s="77"/>
      <c r="O34" s="80"/>
      <c r="P34" s="84"/>
      <c r="Q34" s="87"/>
      <c r="R34" s="91"/>
      <c r="S34" s="94"/>
    </row>
    <row r="35" spans="2:20" x14ac:dyDescent="0.25">
      <c r="B35" s="194" t="s">
        <v>435</v>
      </c>
      <c r="C35" s="25" t="s">
        <v>4</v>
      </c>
      <c r="D35" s="311">
        <v>22.5</v>
      </c>
      <c r="E35" s="311" cm="1">
        <f t="array" aca="1" ref="E35" ca="1">INDIRECT(ADDRESS(ROW(),MATCH(MAX(G35,I35,K35,M35,O35,,Q35,S35),F35:S35,0)-1+COLUMNS(A35:E35),4))</f>
        <v>4.46</v>
      </c>
      <c r="F35" s="307">
        <v>2.7</v>
      </c>
      <c r="G35" s="171">
        <v>43850</v>
      </c>
      <c r="H35" s="56">
        <v>7.2</v>
      </c>
      <c r="I35" s="59">
        <v>44643</v>
      </c>
      <c r="J35" s="63">
        <v>5.8</v>
      </c>
      <c r="K35" s="66">
        <v>44697</v>
      </c>
      <c r="L35" s="70">
        <v>4.9000000000000004</v>
      </c>
      <c r="M35" s="73">
        <v>45056</v>
      </c>
      <c r="N35" s="77">
        <v>4.46</v>
      </c>
      <c r="O35" s="80">
        <v>45090</v>
      </c>
      <c r="P35" s="84"/>
      <c r="Q35" s="87"/>
      <c r="R35" s="91"/>
      <c r="S35" s="94"/>
    </row>
    <row r="36" spans="2:20" ht="15.75" thickBot="1" x14ac:dyDescent="0.3">
      <c r="B36" s="14" t="s">
        <v>438</v>
      </c>
      <c r="C36" s="15" t="s">
        <v>4</v>
      </c>
      <c r="D36" s="312">
        <v>33.200000000000003</v>
      </c>
      <c r="E36" s="312" cm="1">
        <f t="array" aca="1" ref="E36" ca="1">INDIRECT(ADDRESS(ROW(),MATCH(MAX(G36,I36,K36,M36,O36,,Q36,S36),F36:S36,0)-1+COLUMNS(A36:E36),4))</f>
        <v>3.72</v>
      </c>
      <c r="F36" s="308">
        <v>3.72</v>
      </c>
      <c r="G36" s="197">
        <v>44272</v>
      </c>
      <c r="H36" s="142"/>
      <c r="I36" s="60"/>
      <c r="J36" s="143"/>
      <c r="K36" s="67"/>
      <c r="L36" s="144"/>
      <c r="M36" s="74"/>
      <c r="N36" s="145"/>
      <c r="O36" s="81"/>
      <c r="P36" s="146"/>
      <c r="Q36" s="88"/>
      <c r="R36" s="147"/>
      <c r="S36" s="96"/>
    </row>
    <row r="37" spans="2:20" ht="15.75" thickBot="1" x14ac:dyDescent="0.3"/>
    <row r="38" spans="2:20" ht="15.75" thickBot="1" x14ac:dyDescent="0.3">
      <c r="B38" s="866"/>
      <c r="C38" s="867"/>
      <c r="D38" s="860" t="s">
        <v>432</v>
      </c>
      <c r="E38" s="861" t="s">
        <v>29</v>
      </c>
      <c r="F38" s="861" t="s">
        <v>426</v>
      </c>
      <c r="G38" s="861" t="s">
        <v>427</v>
      </c>
      <c r="H38" s="862" t="s">
        <v>428</v>
      </c>
      <c r="I38" s="863" t="s">
        <v>429</v>
      </c>
      <c r="J38" s="863" t="s">
        <v>430</v>
      </c>
    </row>
    <row r="39" spans="2:20" ht="16.5" thickBot="1" x14ac:dyDescent="0.3">
      <c r="B39" s="935" t="s">
        <v>424</v>
      </c>
      <c r="C39" s="936"/>
      <c r="D39" s="865" t="s">
        <v>494</v>
      </c>
      <c r="E39" s="695" t="s">
        <v>4</v>
      </c>
      <c r="F39" s="864">
        <f>(0.12)*10.9</f>
        <v>1.3080000000000001</v>
      </c>
      <c r="G39" s="859">
        <v>3.97</v>
      </c>
      <c r="H39" s="864">
        <f>G39*F39</f>
        <v>5.1927600000000007</v>
      </c>
      <c r="I39" s="864">
        <f>(0.11*1)*10.9</f>
        <v>1.1990000000000001</v>
      </c>
      <c r="J39" s="864">
        <f>(0.11*1)*0.37297+2*1*0.00137832</f>
        <v>4.3783340000000004E-2</v>
      </c>
      <c r="K39" t="s">
        <v>495</v>
      </c>
    </row>
  </sheetData>
  <mergeCells count="17">
    <mergeCell ref="B39:C39"/>
    <mergeCell ref="B3:D3"/>
    <mergeCell ref="B4:B5"/>
    <mergeCell ref="C4:C5"/>
    <mergeCell ref="G4:G5"/>
    <mergeCell ref="S4:S5"/>
    <mergeCell ref="B26:D26"/>
    <mergeCell ref="B29:D29"/>
    <mergeCell ref="B31:D31"/>
    <mergeCell ref="B6:D6"/>
    <mergeCell ref="B9:D9"/>
    <mergeCell ref="B23:D23"/>
    <mergeCell ref="I4:I5"/>
    <mergeCell ref="K4:K5"/>
    <mergeCell ref="M4:M5"/>
    <mergeCell ref="O4:O5"/>
    <mergeCell ref="Q4:Q5"/>
  </mergeCells>
  <phoneticPr fontId="2" type="noConversion"/>
  <hyperlinks>
    <hyperlink ref="A1" location="CUPRINS!A1" display="CUPRINS" xr:uid="{DD37524A-6834-4971-9707-6C02B4A24E5B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C5063-BB06-4FEA-9457-250B66CFDF36}">
  <sheetPr codeName="Sheet14"/>
  <dimension ref="A1:R13"/>
  <sheetViews>
    <sheetView workbookViewId="0">
      <selection activeCell="H54" sqref="H54"/>
    </sheetView>
  </sheetViews>
  <sheetFormatPr defaultRowHeight="15" x14ac:dyDescent="0.25"/>
  <cols>
    <col min="2" max="2" width="24.28515625" customWidth="1"/>
    <col min="4" max="4" width="20.7109375" customWidth="1"/>
    <col min="5" max="5" width="22.42578125" customWidth="1"/>
    <col min="6" max="6" width="14.140625" customWidth="1"/>
    <col min="7" max="7" width="12.7109375" customWidth="1"/>
    <col min="9" max="9" width="15.5703125" customWidth="1"/>
    <col min="11" max="11" width="14.85546875" customWidth="1"/>
    <col min="13" max="13" width="19" customWidth="1"/>
    <col min="15" max="15" width="14" customWidth="1"/>
    <col min="17" max="17" width="15.7109375" customWidth="1"/>
  </cols>
  <sheetData>
    <row r="1" spans="1:18" ht="15.75" thickBot="1" x14ac:dyDescent="0.3">
      <c r="A1" s="445" t="s">
        <v>199</v>
      </c>
    </row>
    <row r="2" spans="1:18" ht="16.5" thickBot="1" x14ac:dyDescent="0.3">
      <c r="B2" s="937" t="s">
        <v>25</v>
      </c>
      <c r="C2" s="939"/>
      <c r="D2" s="770"/>
      <c r="E2" s="101"/>
    </row>
    <row r="3" spans="1:18" x14ac:dyDescent="0.25">
      <c r="B3" s="946" t="s">
        <v>28</v>
      </c>
      <c r="C3" s="948" t="s">
        <v>29</v>
      </c>
      <c r="D3" s="769" t="s">
        <v>418</v>
      </c>
      <c r="E3" s="122" t="s">
        <v>178</v>
      </c>
      <c r="F3" s="940" t="s">
        <v>39</v>
      </c>
      <c r="G3" s="126" t="s">
        <v>178</v>
      </c>
      <c r="H3" s="942" t="s">
        <v>39</v>
      </c>
      <c r="I3" s="130" t="s">
        <v>178</v>
      </c>
      <c r="J3" s="944" t="s">
        <v>39</v>
      </c>
      <c r="K3" s="132" t="s">
        <v>178</v>
      </c>
      <c r="L3" s="931" t="s">
        <v>39</v>
      </c>
      <c r="M3" s="134" t="s">
        <v>178</v>
      </c>
      <c r="N3" s="929" t="s">
        <v>39</v>
      </c>
      <c r="O3" s="136" t="s">
        <v>178</v>
      </c>
      <c r="P3" s="927" t="s">
        <v>39</v>
      </c>
      <c r="Q3" s="138" t="s">
        <v>178</v>
      </c>
      <c r="R3" s="933" t="s">
        <v>39</v>
      </c>
    </row>
    <row r="4" spans="1:18" ht="15.75" thickBot="1" x14ac:dyDescent="0.3">
      <c r="B4" s="947"/>
      <c r="C4" s="949"/>
      <c r="D4" s="278" t="s">
        <v>419</v>
      </c>
      <c r="E4" s="123" t="s">
        <v>179</v>
      </c>
      <c r="F4" s="941"/>
      <c r="G4" s="127" t="s">
        <v>179</v>
      </c>
      <c r="H4" s="943"/>
      <c r="I4" s="131" t="s">
        <v>179</v>
      </c>
      <c r="J4" s="945"/>
      <c r="K4" s="133" t="s">
        <v>179</v>
      </c>
      <c r="L4" s="932"/>
      <c r="M4" s="135" t="s">
        <v>179</v>
      </c>
      <c r="N4" s="930"/>
      <c r="O4" s="137" t="s">
        <v>179</v>
      </c>
      <c r="P4" s="928"/>
      <c r="Q4" s="139" t="s">
        <v>179</v>
      </c>
      <c r="R4" s="934"/>
    </row>
    <row r="5" spans="1:18" x14ac:dyDescent="0.25">
      <c r="B5" s="48" t="s">
        <v>26</v>
      </c>
      <c r="C5" s="346" t="s">
        <v>0</v>
      </c>
      <c r="D5" s="820" cm="1">
        <f t="array" aca="1" ref="D5" ca="1">INDIRECT(ADDRESS(ROW(),MATCH(MAX(F5,H5,J5,L5,N5,P5,R5),E5:R5,0)-1+COLUMNS(A5:D5),4))</f>
        <v>192</v>
      </c>
      <c r="E5" s="779">
        <v>192</v>
      </c>
      <c r="F5" s="282">
        <v>44378</v>
      </c>
      <c r="G5" s="56"/>
      <c r="H5" s="59"/>
      <c r="I5" s="63"/>
      <c r="J5" s="66"/>
      <c r="K5" s="70"/>
      <c r="L5" s="73"/>
      <c r="M5" s="77"/>
      <c r="N5" s="80"/>
      <c r="O5" s="84"/>
      <c r="P5" s="87"/>
      <c r="Q5" s="185"/>
      <c r="R5" s="90"/>
    </row>
    <row r="6" spans="1:18" ht="15.75" thickBot="1" x14ac:dyDescent="0.3">
      <c r="B6" s="24" t="s">
        <v>27</v>
      </c>
      <c r="C6" s="187"/>
      <c r="D6" s="821"/>
      <c r="E6" s="819">
        <f>100*Euro!B3</f>
        <v>503</v>
      </c>
      <c r="F6" s="200">
        <v>44378</v>
      </c>
      <c r="G6" s="142"/>
      <c r="H6" s="60"/>
      <c r="I6" s="143"/>
      <c r="J6" s="67"/>
      <c r="K6" s="144"/>
      <c r="L6" s="74"/>
      <c r="M6" s="145"/>
      <c r="N6" s="81"/>
      <c r="O6" s="146"/>
      <c r="P6" s="88"/>
      <c r="Q6" s="147"/>
      <c r="R6" s="96"/>
    </row>
    <row r="7" spans="1:18" x14ac:dyDescent="0.25">
      <c r="G7" s="43"/>
      <c r="H7" s="141"/>
      <c r="I7" s="43"/>
      <c r="J7" s="141"/>
      <c r="K7" s="43"/>
      <c r="L7" s="141"/>
      <c r="M7" s="43"/>
      <c r="N7" s="141"/>
      <c r="O7" s="43"/>
      <c r="P7" s="141"/>
      <c r="Q7" s="43"/>
      <c r="R7" s="141"/>
    </row>
    <row r="8" spans="1:18" x14ac:dyDescent="0.25">
      <c r="G8" s="43"/>
      <c r="H8" s="141"/>
      <c r="I8" s="43"/>
      <c r="J8" s="141"/>
      <c r="K8" s="43"/>
      <c r="L8" s="141"/>
      <c r="M8" s="43"/>
      <c r="N8" s="141"/>
      <c r="O8" s="43"/>
      <c r="P8" s="141"/>
      <c r="Q8" s="43"/>
      <c r="R8" s="141"/>
    </row>
    <row r="9" spans="1:18" x14ac:dyDescent="0.25">
      <c r="G9" s="43"/>
      <c r="H9" s="141"/>
      <c r="I9" s="43"/>
      <c r="J9" s="141"/>
      <c r="K9" s="43"/>
      <c r="L9" s="141"/>
      <c r="M9" s="43"/>
      <c r="N9" s="141"/>
      <c r="O9" s="43"/>
      <c r="P9" s="141"/>
      <c r="Q9" s="43"/>
      <c r="R9" s="141"/>
    </row>
    <row r="10" spans="1:18" x14ac:dyDescent="0.25">
      <c r="G10" s="43"/>
      <c r="H10" s="141"/>
      <c r="I10" s="43"/>
      <c r="J10" s="141"/>
      <c r="K10" s="43"/>
      <c r="L10" s="141"/>
      <c r="M10" s="43"/>
      <c r="N10" s="141"/>
      <c r="O10" s="43"/>
      <c r="P10" s="141"/>
      <c r="Q10" s="43"/>
      <c r="R10" s="141"/>
    </row>
    <row r="11" spans="1:18" x14ac:dyDescent="0.25">
      <c r="G11" s="199"/>
      <c r="H11" s="141"/>
      <c r="I11" s="199"/>
      <c r="J11" s="141"/>
      <c r="K11" s="199"/>
      <c r="L11" s="141"/>
      <c r="M11" s="199"/>
      <c r="N11" s="141"/>
      <c r="O11" s="199"/>
      <c r="P11" s="141"/>
      <c r="Q11" s="199"/>
      <c r="R11" s="141"/>
    </row>
    <row r="12" spans="1:18" x14ac:dyDescent="0.25">
      <c r="G12" s="43"/>
      <c r="H12" s="141"/>
      <c r="I12" s="43"/>
      <c r="J12" s="141"/>
      <c r="K12" s="43"/>
      <c r="L12" s="141"/>
      <c r="M12" s="43"/>
      <c r="N12" s="141"/>
      <c r="O12" s="43"/>
      <c r="P12" s="141"/>
      <c r="Q12" s="43"/>
      <c r="R12" s="141"/>
    </row>
    <row r="13" spans="1:18" x14ac:dyDescent="0.25">
      <c r="G13" s="43"/>
      <c r="H13" s="141"/>
      <c r="I13" s="43"/>
      <c r="J13" s="141"/>
      <c r="K13" s="43"/>
      <c r="L13" s="141"/>
      <c r="M13" s="43"/>
      <c r="N13" s="141"/>
      <c r="O13" s="43"/>
      <c r="P13" s="141"/>
      <c r="Q13" s="43"/>
      <c r="R13" s="141"/>
    </row>
  </sheetData>
  <mergeCells count="10">
    <mergeCell ref="B2:C2"/>
    <mergeCell ref="B3:B4"/>
    <mergeCell ref="C3:C4"/>
    <mergeCell ref="F3:F4"/>
    <mergeCell ref="R3:R4"/>
    <mergeCell ref="H3:H4"/>
    <mergeCell ref="J3:J4"/>
    <mergeCell ref="L3:L4"/>
    <mergeCell ref="N3:N4"/>
    <mergeCell ref="P3:P4"/>
  </mergeCells>
  <hyperlinks>
    <hyperlink ref="A1" location="CUPRINS!A1" display="CUPRINS" xr:uid="{D37F7BA4-7C90-403C-9CF6-587D0EE1B751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0A9B5-8D22-427E-9715-665B171640FA}">
  <sheetPr codeName="Sheet7"/>
  <dimension ref="A1:S75"/>
  <sheetViews>
    <sheetView zoomScaleNormal="100" workbookViewId="0"/>
  </sheetViews>
  <sheetFormatPr defaultRowHeight="15" x14ac:dyDescent="0.25"/>
  <cols>
    <col min="2" max="2" width="40.85546875" customWidth="1"/>
    <col min="3" max="3" width="13.5703125" customWidth="1"/>
    <col min="4" max="4" width="19.85546875" customWidth="1"/>
    <col min="5" max="5" width="20.85546875" customWidth="1"/>
    <col min="6" max="6" width="15.28515625" customWidth="1"/>
    <col min="7" max="7" width="12.28515625" customWidth="1"/>
    <col min="8" max="8" width="12.7109375" customWidth="1"/>
    <col min="9" max="9" width="14.7109375" customWidth="1"/>
    <col min="10" max="10" width="18.5703125" customWidth="1"/>
    <col min="11" max="11" width="16.42578125" customWidth="1"/>
    <col min="12" max="12" width="14.140625" customWidth="1"/>
    <col min="13" max="13" width="12.42578125" customWidth="1"/>
    <col min="14" max="15" width="15.42578125" customWidth="1"/>
    <col min="16" max="16" width="15.85546875" customWidth="1"/>
    <col min="17" max="17" width="12" customWidth="1"/>
    <col min="18" max="18" width="21.85546875" customWidth="1"/>
    <col min="19" max="19" width="20.7109375" customWidth="1"/>
  </cols>
  <sheetData>
    <row r="1" spans="1:18" ht="15.75" thickBot="1" x14ac:dyDescent="0.3">
      <c r="A1" s="445" t="s">
        <v>199</v>
      </c>
    </row>
    <row r="2" spans="1:18" ht="16.5" thickBot="1" x14ac:dyDescent="0.3">
      <c r="B2" s="937" t="s">
        <v>226</v>
      </c>
      <c r="C2" s="939"/>
      <c r="D2" s="101"/>
      <c r="E2" s="101"/>
      <c r="F2" s="13"/>
    </row>
    <row r="3" spans="1:18" x14ac:dyDescent="0.25">
      <c r="B3" s="946" t="s">
        <v>28</v>
      </c>
      <c r="C3" s="948" t="s">
        <v>29</v>
      </c>
      <c r="D3" s="769" t="s">
        <v>418</v>
      </c>
      <c r="E3" s="122" t="s">
        <v>178</v>
      </c>
      <c r="F3" s="993" t="s">
        <v>39</v>
      </c>
      <c r="G3" s="126" t="s">
        <v>178</v>
      </c>
      <c r="H3" s="981" t="s">
        <v>39</v>
      </c>
      <c r="I3" s="130" t="s">
        <v>178</v>
      </c>
      <c r="J3" s="983" t="s">
        <v>39</v>
      </c>
      <c r="K3" s="132" t="s">
        <v>178</v>
      </c>
      <c r="L3" s="985" t="s">
        <v>39</v>
      </c>
      <c r="M3" s="134" t="s">
        <v>178</v>
      </c>
      <c r="N3" s="987" t="s">
        <v>39</v>
      </c>
      <c r="O3" s="136" t="s">
        <v>178</v>
      </c>
      <c r="P3" s="989" t="s">
        <v>39</v>
      </c>
      <c r="Q3" s="138" t="s">
        <v>178</v>
      </c>
      <c r="R3" s="991" t="s">
        <v>39</v>
      </c>
    </row>
    <row r="4" spans="1:18" ht="15.75" thickBot="1" x14ac:dyDescent="0.3">
      <c r="B4" s="947"/>
      <c r="C4" s="949"/>
      <c r="D4" s="788" t="s">
        <v>419</v>
      </c>
      <c r="E4" s="123" t="s">
        <v>179</v>
      </c>
      <c r="F4" s="994"/>
      <c r="G4" s="127" t="s">
        <v>179</v>
      </c>
      <c r="H4" s="982"/>
      <c r="I4" s="131" t="s">
        <v>179</v>
      </c>
      <c r="J4" s="984"/>
      <c r="K4" s="133" t="s">
        <v>179</v>
      </c>
      <c r="L4" s="986"/>
      <c r="M4" s="135" t="s">
        <v>179</v>
      </c>
      <c r="N4" s="988"/>
      <c r="O4" s="137" t="s">
        <v>179</v>
      </c>
      <c r="P4" s="990"/>
      <c r="Q4" s="139" t="s">
        <v>179</v>
      </c>
      <c r="R4" s="992"/>
    </row>
    <row r="5" spans="1:18" x14ac:dyDescent="0.25">
      <c r="B5" s="48" t="s">
        <v>485</v>
      </c>
      <c r="C5" s="346" t="s">
        <v>4</v>
      </c>
      <c r="D5" s="375" cm="1">
        <f t="array" aca="1" ref="D5" ca="1">INDIRECT(ADDRESS(ROW(),MATCH(MAX(F5,H5,J5,L5,N5,P5,R5),E5:R5,0)-1+COLUMNS(A5:D5),4))</f>
        <v>5.36</v>
      </c>
      <c r="E5" s="779">
        <v>5.36</v>
      </c>
      <c r="F5" s="282">
        <v>44334</v>
      </c>
      <c r="G5" s="175"/>
      <c r="H5" s="176"/>
      <c r="I5" s="177"/>
      <c r="J5" s="178"/>
      <c r="K5" s="179"/>
      <c r="L5" s="180"/>
      <c r="M5" s="181"/>
      <c r="N5" s="182"/>
      <c r="O5" s="183"/>
      <c r="P5" s="184"/>
      <c r="Q5" s="185"/>
      <c r="R5" s="186"/>
    </row>
    <row r="6" spans="1:18" x14ac:dyDescent="0.25">
      <c r="B6" s="3" t="s">
        <v>486</v>
      </c>
      <c r="C6" s="291" t="s">
        <v>4</v>
      </c>
      <c r="D6" s="279" cm="1">
        <f t="array" aca="1" ref="D6" ca="1">INDIRECT(ADDRESS(ROW(),MATCH(MAX(F6,H6,J6,L6,N6,P6,R6),E6:R6,0)-1+COLUMNS(A6:D6),4))</f>
        <v>6</v>
      </c>
      <c r="E6" s="780">
        <v>2.95</v>
      </c>
      <c r="F6" s="171">
        <v>44209</v>
      </c>
      <c r="G6" s="351">
        <v>7</v>
      </c>
      <c r="H6" s="59">
        <v>44832</v>
      </c>
      <c r="I6" s="448">
        <v>6</v>
      </c>
      <c r="J6" s="66">
        <v>44880</v>
      </c>
      <c r="K6" s="72"/>
      <c r="L6" s="73"/>
      <c r="M6" s="79"/>
      <c r="N6" s="80"/>
      <c r="O6" s="86"/>
      <c r="P6" s="87"/>
      <c r="Q6" s="93"/>
      <c r="R6" s="94"/>
    </row>
    <row r="7" spans="1:18" x14ac:dyDescent="0.25">
      <c r="B7" s="3" t="s">
        <v>487</v>
      </c>
      <c r="C7" s="291" t="s">
        <v>4</v>
      </c>
      <c r="D7" s="279" cm="1">
        <f t="array" aca="1" ref="D7" ca="1">INDIRECT(ADDRESS(ROW(),MATCH(MAX(F7,H7,J7,L7,N7,P7,R7),E7:R7,0)-1+COLUMNS(A7:D7),4))</f>
        <v>4.9000000000000004</v>
      </c>
      <c r="E7" s="780">
        <v>4.9000000000000004</v>
      </c>
      <c r="F7" s="171">
        <v>44516</v>
      </c>
      <c r="G7" s="56">
        <v>5</v>
      </c>
      <c r="H7" s="59">
        <v>44606</v>
      </c>
      <c r="I7" s="63">
        <v>9.1</v>
      </c>
      <c r="J7" s="66">
        <v>44683</v>
      </c>
      <c r="K7" s="70">
        <v>8</v>
      </c>
      <c r="L7" s="73">
        <v>44719</v>
      </c>
      <c r="M7" s="77">
        <v>6</v>
      </c>
      <c r="N7" s="80">
        <v>44847</v>
      </c>
      <c r="O7" s="84">
        <v>4.95</v>
      </c>
      <c r="P7" s="87">
        <v>44936</v>
      </c>
      <c r="Q7" s="91">
        <v>4.9000000000000004</v>
      </c>
      <c r="R7" s="94">
        <v>45061</v>
      </c>
    </row>
    <row r="8" spans="1:18" x14ac:dyDescent="0.25">
      <c r="B8" s="3" t="s">
        <v>488</v>
      </c>
      <c r="C8" s="291" t="s">
        <v>4</v>
      </c>
      <c r="D8" s="279" cm="1">
        <f t="array" aca="1" ref="D8" ca="1">INDIRECT(ADDRESS(ROW(),MATCH(MAX(F8,H8,J8,L8,N8,P8,R8),E8:R8,0)-1+COLUMNS(A8:D8),4))</f>
        <v>6</v>
      </c>
      <c r="E8" s="780">
        <v>6</v>
      </c>
      <c r="F8" s="171">
        <v>44377</v>
      </c>
      <c r="G8" s="56"/>
      <c r="H8" s="59"/>
      <c r="I8" s="63"/>
      <c r="J8" s="66"/>
      <c r="K8" s="70"/>
      <c r="L8" s="73"/>
      <c r="M8" s="77"/>
      <c r="N8" s="80"/>
      <c r="O8" s="84"/>
      <c r="P8" s="87"/>
      <c r="Q8" s="91"/>
      <c r="R8" s="94"/>
    </row>
    <row r="9" spans="1:18" x14ac:dyDescent="0.25">
      <c r="B9" s="3" t="s">
        <v>489</v>
      </c>
      <c r="C9" s="291" t="s">
        <v>4</v>
      </c>
      <c r="D9" s="279" cm="1">
        <f t="array" aca="1" ref="D9" ca="1">INDIRECT(ADDRESS(ROW(),MATCH(MAX(F9,H9,J9,L9,N9,P9,R9),E9:R9,0)-1+COLUMNS(A9:D9),4))</f>
        <v>9.1</v>
      </c>
      <c r="E9" s="780">
        <v>9.8000000000000007</v>
      </c>
      <c r="F9" s="171">
        <v>44643</v>
      </c>
      <c r="G9" s="56">
        <v>9.1</v>
      </c>
      <c r="H9" s="59">
        <v>44700</v>
      </c>
      <c r="I9" s="63"/>
      <c r="J9" s="66"/>
      <c r="K9" s="70"/>
      <c r="L9" s="73"/>
      <c r="M9" s="77"/>
      <c r="N9" s="80"/>
      <c r="O9" s="84"/>
      <c r="P9" s="87"/>
      <c r="Q9" s="91"/>
      <c r="R9" s="94"/>
    </row>
    <row r="10" spans="1:18" x14ac:dyDescent="0.25">
      <c r="B10" s="3" t="s">
        <v>490</v>
      </c>
      <c r="C10" s="291" t="s">
        <v>4</v>
      </c>
      <c r="D10" s="279" cm="1">
        <f t="array" aca="1" ref="D10" ca="1">INDIRECT(ADDRESS(ROW(),MATCH(MAX(F10,H10,J10,L10,N10,P10,R10),E10:R10,0)-1+COLUMNS(A10:D10),4))</f>
        <v>5.5</v>
      </c>
      <c r="E10" s="780">
        <v>5.5</v>
      </c>
      <c r="F10" s="171">
        <v>44999</v>
      </c>
      <c r="G10" s="56"/>
      <c r="H10" s="59"/>
      <c r="I10" s="63"/>
      <c r="J10" s="66"/>
      <c r="K10" s="70"/>
      <c r="L10" s="73"/>
      <c r="M10" s="77"/>
      <c r="N10" s="80"/>
      <c r="O10" s="84"/>
      <c r="P10" s="87"/>
      <c r="Q10" s="91"/>
      <c r="R10" s="94"/>
    </row>
    <row r="11" spans="1:18" x14ac:dyDescent="0.25">
      <c r="B11" s="3" t="s">
        <v>286</v>
      </c>
      <c r="C11" s="291" t="s">
        <v>4</v>
      </c>
      <c r="D11" s="279" cm="1">
        <f t="array" aca="1" ref="D11" ca="1">INDIRECT(ADDRESS(ROW(),MATCH(MAX(F11,H11,J11,L11,N11,P11,R11),E11:R11,0)-1+COLUMNS(A11:D11),4))</f>
        <v>5</v>
      </c>
      <c r="E11" s="780">
        <v>5</v>
      </c>
      <c r="F11" s="171">
        <v>44606</v>
      </c>
      <c r="G11" s="56"/>
      <c r="H11" s="59"/>
      <c r="I11" s="63"/>
      <c r="J11" s="66"/>
      <c r="K11" s="70"/>
      <c r="L11" s="73"/>
      <c r="M11" s="77"/>
      <c r="N11" s="80"/>
      <c r="O11" s="84"/>
      <c r="P11" s="87"/>
      <c r="Q11" s="91"/>
      <c r="R11" s="94"/>
    </row>
    <row r="12" spans="1:18" x14ac:dyDescent="0.25">
      <c r="B12" s="3" t="s">
        <v>286</v>
      </c>
      <c r="C12" s="291" t="s">
        <v>4</v>
      </c>
      <c r="D12" s="279" cm="1">
        <f t="array" aca="1" ref="D12" ca="1">INDIRECT(ADDRESS(ROW(),MATCH(MAX(F12,H12,J12,L12,N12,P12,R12),E12:R12,0)-1+COLUMNS(A12:D12),4))</f>
        <v>4.9000000000000004</v>
      </c>
      <c r="E12" s="780">
        <v>4.9000000000000004</v>
      </c>
      <c r="F12" s="171">
        <v>44510</v>
      </c>
      <c r="G12" s="56"/>
      <c r="H12" s="59"/>
      <c r="I12" s="63"/>
      <c r="J12" s="66"/>
      <c r="K12" s="70"/>
      <c r="L12" s="73"/>
      <c r="M12" s="77"/>
      <c r="N12" s="80"/>
      <c r="O12" s="84"/>
      <c r="P12" s="87"/>
      <c r="Q12" s="91"/>
      <c r="R12" s="94"/>
    </row>
    <row r="13" spans="1:18" x14ac:dyDescent="0.25">
      <c r="B13" s="3" t="s">
        <v>124</v>
      </c>
      <c r="C13" s="291" t="s">
        <v>4</v>
      </c>
      <c r="D13" s="279" cm="1">
        <f t="array" aca="1" ref="D13" ca="1">INDIRECT(ADDRESS(ROW(),MATCH(MAX(F13,H13,J13,L13,N13,P13,R13),E13:R13,0)-1+COLUMNS(A13:D13),4))</f>
        <v>4.9000000000000004</v>
      </c>
      <c r="E13" s="780">
        <v>3.2</v>
      </c>
      <c r="F13" s="171">
        <v>44230</v>
      </c>
      <c r="G13" s="56">
        <v>4.9000000000000004</v>
      </c>
      <c r="H13" s="59">
        <v>44510</v>
      </c>
      <c r="I13" s="63"/>
      <c r="J13" s="66"/>
      <c r="K13" s="70"/>
      <c r="L13" s="73"/>
      <c r="M13" s="77"/>
      <c r="N13" s="80"/>
      <c r="O13" s="84"/>
      <c r="P13" s="87"/>
      <c r="Q13" s="91"/>
      <c r="R13" s="94"/>
    </row>
    <row r="14" spans="1:18" x14ac:dyDescent="0.25">
      <c r="B14" s="41" t="s">
        <v>317</v>
      </c>
      <c r="C14" s="291" t="s">
        <v>4</v>
      </c>
      <c r="D14" s="279" cm="1">
        <f t="array" aca="1" ref="D14" ca="1">INDIRECT(ADDRESS(ROW(),MATCH(MAX(F14,H14,J14,L14,N14,P14,R14),E14:R14,0)-1+COLUMNS(A14:D14),4))</f>
        <v>5.2</v>
      </c>
      <c r="E14" s="780">
        <v>5</v>
      </c>
      <c r="F14" s="171">
        <v>44606</v>
      </c>
      <c r="G14" s="56">
        <v>8</v>
      </c>
      <c r="H14" s="59">
        <v>44719</v>
      </c>
      <c r="I14" s="63">
        <v>7</v>
      </c>
      <c r="J14" s="66">
        <v>44833</v>
      </c>
      <c r="K14" s="70">
        <v>4.95</v>
      </c>
      <c r="L14" s="73">
        <v>44932</v>
      </c>
      <c r="M14" s="77">
        <v>5.2</v>
      </c>
      <c r="N14" s="80">
        <v>45020</v>
      </c>
      <c r="O14" s="84"/>
      <c r="P14" s="87"/>
      <c r="Q14" s="91"/>
      <c r="R14" s="94"/>
    </row>
    <row r="15" spans="1:18" x14ac:dyDescent="0.25">
      <c r="B15" s="41" t="s">
        <v>326</v>
      </c>
      <c r="C15" s="349" t="s">
        <v>4</v>
      </c>
      <c r="D15" s="279" cm="1">
        <f t="array" aca="1" ref="D15" ca="1">INDIRECT(ADDRESS(ROW(),MATCH(MAX(F15,H15,J15,L15,N15,P15,R15),E15:R15,0)-1+COLUMNS(A15:D15),4))</f>
        <v>6.2779999999999996</v>
      </c>
      <c r="E15" s="766">
        <v>2.6</v>
      </c>
      <c r="F15" s="156">
        <v>43916</v>
      </c>
      <c r="G15" s="56">
        <v>5</v>
      </c>
      <c r="H15" s="59">
        <v>44379</v>
      </c>
      <c r="I15" s="448">
        <f>6.278</f>
        <v>6.2779999999999996</v>
      </c>
      <c r="J15" s="66">
        <v>44645</v>
      </c>
      <c r="K15" s="70"/>
      <c r="L15" s="73"/>
      <c r="M15" s="77"/>
      <c r="N15" s="80"/>
      <c r="O15" s="84"/>
      <c r="P15" s="87"/>
      <c r="Q15" s="91"/>
      <c r="R15" s="94"/>
    </row>
    <row r="16" spans="1:18" x14ac:dyDescent="0.25">
      <c r="B16" s="41" t="s">
        <v>252</v>
      </c>
      <c r="C16" s="349" t="s">
        <v>4</v>
      </c>
      <c r="D16" s="279" cm="1">
        <f t="array" aca="1" ref="D16" ca="1">INDIRECT(ADDRESS(ROW(),MATCH(MAX(F16,H16,J16,L16,N16,P16,R16),E16:R16,0)-1+COLUMNS(A16:D16),4))</f>
        <v>5.76</v>
      </c>
      <c r="E16" s="766">
        <v>5.76</v>
      </c>
      <c r="F16" s="156">
        <v>44449</v>
      </c>
      <c r="G16" s="56"/>
      <c r="H16" s="59"/>
      <c r="I16" s="63"/>
      <c r="J16" s="66"/>
      <c r="K16" s="70"/>
      <c r="L16" s="73"/>
      <c r="M16" s="77"/>
      <c r="N16" s="80"/>
      <c r="O16" s="84"/>
      <c r="P16" s="87"/>
      <c r="Q16" s="91"/>
      <c r="R16" s="94"/>
    </row>
    <row r="17" spans="2:18" x14ac:dyDescent="0.25">
      <c r="B17" s="41" t="s">
        <v>407</v>
      </c>
      <c r="C17" s="349" t="s">
        <v>4</v>
      </c>
      <c r="D17" s="279" cm="1">
        <f t="array" aca="1" ref="D17" ca="1">INDIRECT(ADDRESS(ROW(),MATCH(MAX(F17,H17,J17,L17,N17,P17,R17),E17:R17,0)-1+COLUMNS(A17:D17),4))</f>
        <v>5.81</v>
      </c>
      <c r="E17" s="766">
        <v>5.8</v>
      </c>
      <c r="F17" s="156">
        <v>44911</v>
      </c>
      <c r="G17" s="56">
        <v>5.81</v>
      </c>
      <c r="H17" s="59">
        <v>44932</v>
      </c>
      <c r="I17" s="63"/>
      <c r="J17" s="66"/>
      <c r="K17" s="70"/>
      <c r="L17" s="73"/>
      <c r="M17" s="77"/>
      <c r="N17" s="80"/>
      <c r="O17" s="84"/>
      <c r="P17" s="87"/>
      <c r="Q17" s="91"/>
      <c r="R17" s="94"/>
    </row>
    <row r="18" spans="2:18" ht="16.5" customHeight="1" x14ac:dyDescent="0.25">
      <c r="B18" s="41" t="s">
        <v>453</v>
      </c>
      <c r="C18" s="349" t="s">
        <v>4</v>
      </c>
      <c r="D18" s="279" cm="1">
        <f t="array" aca="1" ref="D18" ca="1">INDIRECT(ADDRESS(ROW(),MATCH(MAX(F18,H18,J18,L18,N18,P18,R18),E18:R18,0)-1+COLUMNS(A18:D18),4))</f>
        <v>5.5</v>
      </c>
      <c r="E18" s="766">
        <v>5.5</v>
      </c>
      <c r="F18" s="156">
        <v>44999</v>
      </c>
      <c r="G18" s="56"/>
      <c r="H18" s="59"/>
      <c r="I18" s="63"/>
      <c r="J18" s="66"/>
      <c r="K18" s="70"/>
      <c r="L18" s="73"/>
      <c r="M18" s="77"/>
      <c r="N18" s="80"/>
      <c r="O18" s="84"/>
      <c r="P18" s="87"/>
      <c r="Q18" s="91"/>
      <c r="R18" s="94"/>
    </row>
    <row r="19" spans="2:18" ht="14.25" customHeight="1" x14ac:dyDescent="0.25">
      <c r="B19" s="12" t="s">
        <v>75</v>
      </c>
      <c r="C19" s="349" t="s">
        <v>4</v>
      </c>
      <c r="D19" s="279" cm="1">
        <f t="array" aca="1" ref="D19" ca="1">INDIRECT(ADDRESS(ROW(),MATCH(MAX(F19,H19,J19,L19,N19,P19,R19),E19:R19,0)-1+COLUMNS(A19:D19),4))</f>
        <v>4.9000000000000004</v>
      </c>
      <c r="E19" s="773">
        <v>5.8</v>
      </c>
      <c r="F19" s="173">
        <v>44350</v>
      </c>
      <c r="G19" s="56">
        <v>5.9</v>
      </c>
      <c r="H19" s="59">
        <v>44379</v>
      </c>
      <c r="I19" s="63">
        <v>6</v>
      </c>
      <c r="J19" s="66">
        <v>44391</v>
      </c>
      <c r="K19" s="70">
        <v>4.9000000000000004</v>
      </c>
      <c r="L19" s="73">
        <v>44588</v>
      </c>
      <c r="M19" s="77"/>
      <c r="N19" s="80"/>
      <c r="O19" s="84"/>
      <c r="P19" s="87"/>
      <c r="Q19" s="91"/>
      <c r="R19" s="94"/>
    </row>
    <row r="20" spans="2:18" ht="14.25" customHeight="1" x14ac:dyDescent="0.25">
      <c r="B20" s="12" t="s">
        <v>459</v>
      </c>
      <c r="C20" s="349" t="s">
        <v>4</v>
      </c>
      <c r="D20" s="279" cm="1">
        <f t="array" aca="1" ref="D20" ca="1">INDIRECT(ADDRESS(ROW(),MATCH(MAX(F20,H20,J20,L20,N20,P20,R20),E20:R20,0)-1+COLUMNS(A20:D20),4))</f>
        <v>5.3</v>
      </c>
      <c r="E20" s="773">
        <v>5.3</v>
      </c>
      <c r="F20" s="173">
        <v>45019</v>
      </c>
      <c r="G20" s="56"/>
      <c r="H20" s="59"/>
      <c r="I20" s="63"/>
      <c r="J20" s="66"/>
      <c r="K20" s="70"/>
      <c r="L20" s="73"/>
      <c r="M20" s="77"/>
      <c r="N20" s="80"/>
      <c r="O20" s="84"/>
      <c r="P20" s="87"/>
      <c r="Q20" s="91"/>
      <c r="R20" s="94"/>
    </row>
    <row r="21" spans="2:18" ht="14.25" customHeight="1" x14ac:dyDescent="0.25">
      <c r="B21" s="12" t="s">
        <v>316</v>
      </c>
      <c r="C21" s="349" t="s">
        <v>4</v>
      </c>
      <c r="D21" s="279" cm="1">
        <f t="array" aca="1" ref="D21" ca="1">INDIRECT(ADDRESS(ROW(),MATCH(MAX(F21,H21,J21,L21,N21,P21,R21),E21:R21,0)-1+COLUMNS(A21:D21),4))</f>
        <v>5.9</v>
      </c>
      <c r="E21" s="773">
        <v>4.9000000000000004</v>
      </c>
      <c r="F21" s="173">
        <v>44606</v>
      </c>
      <c r="G21" s="56">
        <v>9</v>
      </c>
      <c r="H21" s="59">
        <v>44642</v>
      </c>
      <c r="I21" s="63">
        <v>8</v>
      </c>
      <c r="J21" s="66">
        <v>44719</v>
      </c>
      <c r="K21" s="70">
        <v>5.9</v>
      </c>
      <c r="L21" s="73">
        <v>44813</v>
      </c>
      <c r="M21" s="77"/>
      <c r="N21" s="80"/>
      <c r="O21" s="84"/>
      <c r="P21" s="87"/>
      <c r="Q21" s="91"/>
      <c r="R21" s="94"/>
    </row>
    <row r="22" spans="2:18" ht="14.25" customHeight="1" x14ac:dyDescent="0.25">
      <c r="B22" s="12" t="s">
        <v>289</v>
      </c>
      <c r="C22" s="349" t="s">
        <v>4</v>
      </c>
      <c r="D22" s="279" cm="1">
        <f t="array" aca="1" ref="D22" ca="1">INDIRECT(ADDRESS(ROW(),MATCH(MAX(F22,H22,J22,L22,N22,P22,R22),E22:R22,0)-1+COLUMNS(A22:D22),4))</f>
        <v>4.42</v>
      </c>
      <c r="E22" s="773">
        <v>4.5</v>
      </c>
      <c r="F22" s="173">
        <v>44890</v>
      </c>
      <c r="G22" s="56">
        <v>5.8</v>
      </c>
      <c r="H22" s="59">
        <v>44601</v>
      </c>
      <c r="I22" s="63">
        <v>5</v>
      </c>
      <c r="J22" s="66">
        <v>44998</v>
      </c>
      <c r="K22" s="70">
        <v>5.9</v>
      </c>
      <c r="L22" s="73">
        <v>45007</v>
      </c>
      <c r="M22" s="77">
        <v>4.8</v>
      </c>
      <c r="N22" s="80">
        <v>45077</v>
      </c>
      <c r="O22" s="84">
        <v>4.2</v>
      </c>
      <c r="P22" s="87">
        <v>45117</v>
      </c>
      <c r="Q22" s="91">
        <v>4.42</v>
      </c>
      <c r="R22" s="94">
        <v>45156</v>
      </c>
    </row>
    <row r="23" spans="2:18" ht="14.25" customHeight="1" x14ac:dyDescent="0.25">
      <c r="B23" s="12" t="s">
        <v>295</v>
      </c>
      <c r="C23" s="349" t="s">
        <v>4</v>
      </c>
      <c r="D23" s="279" cm="1">
        <f t="array" aca="1" ref="D23" ca="1">INDIRECT(ADDRESS(ROW(),MATCH(MAX(F23,H23,J23,L23,N23,P23,R23),E23:R23,0)-1+COLUMNS(A23:D23),4))</f>
        <v>5.2</v>
      </c>
      <c r="E23" s="773">
        <v>5.2</v>
      </c>
      <c r="F23" s="543">
        <v>44551</v>
      </c>
      <c r="G23" s="56"/>
      <c r="H23" s="59"/>
      <c r="I23" s="63"/>
      <c r="J23" s="66"/>
      <c r="K23" s="70"/>
      <c r="L23" s="73"/>
      <c r="M23" s="77"/>
      <c r="N23" s="80"/>
      <c r="O23" s="84"/>
      <c r="P23" s="87"/>
      <c r="Q23" s="91"/>
      <c r="R23" s="94"/>
    </row>
    <row r="24" spans="2:18" x14ac:dyDescent="0.25">
      <c r="B24" s="12" t="s">
        <v>163</v>
      </c>
      <c r="C24" s="349" t="s">
        <v>4</v>
      </c>
      <c r="D24" s="279" cm="1">
        <f t="array" aca="1" ref="D24" ca="1">INDIRECT(ADDRESS(ROW(),MATCH(MAX(F24,H24,J24,L24,N24,P24,R24),E24:R24,0)-1+COLUMNS(A24:D24),4))</f>
        <v>4.9000000000000004</v>
      </c>
      <c r="E24" s="773">
        <v>6.43</v>
      </c>
      <c r="F24" s="155" t="s">
        <v>162</v>
      </c>
      <c r="G24" s="351">
        <v>9.6</v>
      </c>
      <c r="H24" s="59">
        <v>44645</v>
      </c>
      <c r="I24" s="448">
        <v>7.72</v>
      </c>
      <c r="J24" s="66">
        <v>44756</v>
      </c>
      <c r="K24" s="708">
        <v>4.9000000000000004</v>
      </c>
      <c r="L24" s="73">
        <v>44987</v>
      </c>
      <c r="M24" s="79"/>
      <c r="N24" s="80"/>
      <c r="O24" s="86"/>
      <c r="P24" s="87"/>
      <c r="Q24" s="93"/>
      <c r="R24" s="94"/>
    </row>
    <row r="25" spans="2:18" x14ac:dyDescent="0.25">
      <c r="B25" s="12" t="s">
        <v>143</v>
      </c>
      <c r="C25" s="349" t="s">
        <v>4</v>
      </c>
      <c r="D25" s="279" cm="1">
        <f t="array" aca="1" ref="D25" ca="1">INDIRECT(ADDRESS(ROW(),MATCH(MAX(F25,H25,J25,L25,N25,P25,R25),E25:R25,0)-1+COLUMNS(A25:D25),4))</f>
        <v>4.5</v>
      </c>
      <c r="E25" s="773">
        <v>5.2</v>
      </c>
      <c r="F25" s="173">
        <v>45020</v>
      </c>
      <c r="G25" s="56">
        <v>4.7</v>
      </c>
      <c r="H25" s="59">
        <v>45051</v>
      </c>
      <c r="I25" s="63">
        <v>4.3</v>
      </c>
      <c r="J25" s="66">
        <v>45077</v>
      </c>
      <c r="K25" s="70">
        <v>4.45</v>
      </c>
      <c r="L25" s="73">
        <v>45084</v>
      </c>
      <c r="M25" s="77">
        <v>4.43</v>
      </c>
      <c r="N25" s="80">
        <v>45156</v>
      </c>
      <c r="O25" s="84">
        <v>3.95</v>
      </c>
      <c r="P25" s="87">
        <v>45190</v>
      </c>
      <c r="Q25" s="91">
        <v>4.5</v>
      </c>
      <c r="R25" s="94">
        <v>45197</v>
      </c>
    </row>
    <row r="26" spans="2:18" x14ac:dyDescent="0.25">
      <c r="B26" s="12" t="s">
        <v>157</v>
      </c>
      <c r="C26" s="349" t="s">
        <v>4</v>
      </c>
      <c r="D26" s="279" cm="1">
        <f t="array" aca="1" ref="D26" ca="1">INDIRECT(ADDRESS(ROW(),MATCH(MAX(F26,H26,J26,L26,N26,P26,R26),E26:R26,0)-1+COLUMNS(A26:D26),4))</f>
        <v>4.0999999999999996</v>
      </c>
      <c r="E26" s="773">
        <v>4.9000000000000004</v>
      </c>
      <c r="F26" s="173">
        <v>44588</v>
      </c>
      <c r="G26" s="56">
        <v>7.1</v>
      </c>
      <c r="H26" s="59">
        <v>44687</v>
      </c>
      <c r="I26" s="63">
        <v>4.7</v>
      </c>
      <c r="J26" s="66">
        <v>44840</v>
      </c>
      <c r="K26" s="70">
        <v>4.3</v>
      </c>
      <c r="L26" s="73">
        <v>44889</v>
      </c>
      <c r="M26" s="77">
        <v>4.26</v>
      </c>
      <c r="N26" s="80">
        <v>44930</v>
      </c>
      <c r="O26" s="84">
        <v>4.5</v>
      </c>
      <c r="P26" s="87">
        <v>45070</v>
      </c>
      <c r="Q26" s="91">
        <v>4.0999999999999996</v>
      </c>
      <c r="R26" s="94">
        <v>45181</v>
      </c>
    </row>
    <row r="27" spans="2:18" x14ac:dyDescent="0.25">
      <c r="B27" s="12" t="s">
        <v>125</v>
      </c>
      <c r="C27" s="349" t="s">
        <v>4</v>
      </c>
      <c r="D27" s="279" cm="1">
        <f t="array" aca="1" ref="D27" ca="1">INDIRECT(ADDRESS(ROW(),MATCH(MAX(F27,H27,J27,L27,N27,P27,R27),E27:R27,0)-1+COLUMNS(A27:D27),4))</f>
        <v>4.2</v>
      </c>
      <c r="E27" s="773">
        <v>3.5</v>
      </c>
      <c r="F27" s="173">
        <v>44230</v>
      </c>
      <c r="G27" s="56">
        <v>6</v>
      </c>
      <c r="H27" s="59">
        <v>44391</v>
      </c>
      <c r="I27" s="63">
        <v>5.9</v>
      </c>
      <c r="J27" s="66">
        <v>44438</v>
      </c>
      <c r="K27" s="70">
        <v>5.2</v>
      </c>
      <c r="L27" s="73">
        <v>44606</v>
      </c>
      <c r="M27" s="77">
        <v>6.63</v>
      </c>
      <c r="N27" s="80">
        <v>44700</v>
      </c>
      <c r="O27" s="84">
        <v>4.2</v>
      </c>
      <c r="P27" s="87">
        <v>44932</v>
      </c>
      <c r="Q27" s="91"/>
      <c r="R27" s="94"/>
    </row>
    <row r="28" spans="2:18" x14ac:dyDescent="0.25">
      <c r="B28" s="12" t="s">
        <v>167</v>
      </c>
      <c r="C28" s="349" t="s">
        <v>4</v>
      </c>
      <c r="D28" s="279" cm="1">
        <f t="array" aca="1" ref="D28" ca="1">INDIRECT(ADDRESS(ROW(),MATCH(MAX(F28,H28,J28,L28,N28,P28,R28),E28:R28,0)-1+COLUMNS(A28:D28),4))</f>
        <v>3.95</v>
      </c>
      <c r="E28" s="773">
        <v>4.3</v>
      </c>
      <c r="F28" s="173">
        <v>44889</v>
      </c>
      <c r="G28" s="351">
        <v>4.6500000000000004</v>
      </c>
      <c r="H28" s="59">
        <v>44993</v>
      </c>
      <c r="I28" s="65">
        <v>4.5999999999999996</v>
      </c>
      <c r="J28" s="66">
        <v>44999</v>
      </c>
      <c r="K28" s="72">
        <v>4.5</v>
      </c>
      <c r="L28" s="73">
        <v>45002</v>
      </c>
      <c r="M28" s="79">
        <v>4.7</v>
      </c>
      <c r="N28" s="80">
        <v>45049</v>
      </c>
      <c r="O28" s="86">
        <v>4.5</v>
      </c>
      <c r="P28" s="87">
        <v>45070</v>
      </c>
      <c r="Q28" s="93">
        <v>3.95</v>
      </c>
      <c r="R28" s="94">
        <v>45190</v>
      </c>
    </row>
    <row r="29" spans="2:18" x14ac:dyDescent="0.25">
      <c r="B29" s="12" t="s">
        <v>255</v>
      </c>
      <c r="C29" s="349" t="s">
        <v>4</v>
      </c>
      <c r="D29" s="279" cm="1">
        <f t="array" aca="1" ref="D29" ca="1">INDIRECT(ADDRESS(ROW(),MATCH(MAX(F29,H29,J29,L29,N29,P29,R29),E29:R29,0)-1+COLUMNS(A29:D29),4))</f>
        <v>4.6500000000000004</v>
      </c>
      <c r="E29" s="773">
        <v>5.8</v>
      </c>
      <c r="F29" s="173">
        <v>44459</v>
      </c>
      <c r="G29" s="351">
        <v>4.6500000000000004</v>
      </c>
      <c r="H29" s="59">
        <v>45175</v>
      </c>
      <c r="I29" s="65"/>
      <c r="J29" s="66"/>
      <c r="K29" s="72"/>
      <c r="L29" s="73"/>
      <c r="M29" s="79"/>
      <c r="N29" s="80"/>
      <c r="O29" s="86"/>
      <c r="P29" s="87"/>
      <c r="Q29" s="93"/>
      <c r="R29" s="94"/>
    </row>
    <row r="30" spans="2:18" x14ac:dyDescent="0.25">
      <c r="B30" s="41" t="s">
        <v>262</v>
      </c>
      <c r="C30" s="349" t="s">
        <v>4</v>
      </c>
      <c r="D30" s="279" cm="1">
        <f t="array" aca="1" ref="D30" ca="1">INDIRECT(ADDRESS(ROW(),MATCH(MAX(F30,H30,J30,L30,N30,P30,R30),E30:R30,0)-1+COLUMNS(A30:D30),4))</f>
        <v>4.16</v>
      </c>
      <c r="E30" s="773">
        <v>6.63</v>
      </c>
      <c r="F30" s="173">
        <v>44701</v>
      </c>
      <c r="G30" s="56">
        <v>7</v>
      </c>
      <c r="H30" s="59">
        <v>44719</v>
      </c>
      <c r="I30" s="63">
        <v>5.99</v>
      </c>
      <c r="J30" s="66">
        <v>44727</v>
      </c>
      <c r="K30" s="70">
        <v>5</v>
      </c>
      <c r="L30" s="73">
        <v>44847</v>
      </c>
      <c r="M30" s="77">
        <v>4.3</v>
      </c>
      <c r="N30" s="80">
        <v>44889</v>
      </c>
      <c r="O30" s="84">
        <v>4.8499999999999996</v>
      </c>
      <c r="P30" s="87">
        <v>44930</v>
      </c>
      <c r="Q30" s="91">
        <v>4.16</v>
      </c>
      <c r="R30" s="94">
        <v>44932</v>
      </c>
    </row>
    <row r="31" spans="2:18" x14ac:dyDescent="0.25">
      <c r="B31" s="41" t="s">
        <v>496</v>
      </c>
      <c r="C31" s="349" t="s">
        <v>4</v>
      </c>
      <c r="D31" s="279" cm="1">
        <f t="array" aca="1" ref="D31" ca="1">INDIRECT(ADDRESS(ROW(),MATCH(MAX(F31,H31,J31,L31,N31,P31,R31),E31:R31,0)-1+COLUMNS(A31:D31),4))</f>
        <v>5.0999999999999996</v>
      </c>
      <c r="E31" s="766">
        <v>5.91</v>
      </c>
      <c r="F31" s="156">
        <v>44606</v>
      </c>
      <c r="G31" s="56">
        <v>9</v>
      </c>
      <c r="H31" s="539">
        <v>44642</v>
      </c>
      <c r="I31" s="63">
        <v>5.4</v>
      </c>
      <c r="J31" s="66">
        <v>44993</v>
      </c>
      <c r="K31" s="70">
        <v>5.8</v>
      </c>
      <c r="L31" s="73">
        <v>45061</v>
      </c>
      <c r="M31" s="77">
        <v>5.45</v>
      </c>
      <c r="N31" s="80">
        <v>45148</v>
      </c>
      <c r="O31" s="84">
        <v>5.0999999999999996</v>
      </c>
      <c r="P31" s="87">
        <v>45169</v>
      </c>
      <c r="Q31" s="91"/>
      <c r="R31" s="94"/>
    </row>
    <row r="32" spans="2:18" x14ac:dyDescent="0.25">
      <c r="B32" s="41" t="s">
        <v>433</v>
      </c>
      <c r="C32" s="349" t="s">
        <v>4</v>
      </c>
      <c r="D32" s="279" cm="1">
        <f t="array" aca="1" ref="D32" ca="1">INDIRECT(ADDRESS(ROW(),MATCH(MAX(F32,H32,J32,L32,N32,P32,R32),E32:R32,0)-1+COLUMNS(A32:D32),4))</f>
        <v>4.4000000000000004</v>
      </c>
      <c r="E32" s="766">
        <v>4.4000000000000004</v>
      </c>
      <c r="F32" s="156">
        <v>44957</v>
      </c>
      <c r="G32" s="56"/>
      <c r="H32" s="539"/>
      <c r="I32" s="63"/>
      <c r="J32" s="66"/>
      <c r="K32" s="70"/>
      <c r="L32" s="73"/>
      <c r="M32" s="77"/>
      <c r="N32" s="80"/>
      <c r="O32" s="84"/>
      <c r="P32" s="87"/>
      <c r="Q32" s="91"/>
      <c r="R32" s="94"/>
    </row>
    <row r="33" spans="2:18" x14ac:dyDescent="0.25">
      <c r="B33" s="41" t="s">
        <v>290</v>
      </c>
      <c r="C33" s="349" t="s">
        <v>4</v>
      </c>
      <c r="D33" s="279" cm="1">
        <f t="array" aca="1" ref="D33" ca="1">INDIRECT(ADDRESS(ROW(),MATCH(MAX(F33,H33,J33,L33,N33,P33,R33),E33:R33,0)-1+COLUMNS(A33:D33),4))</f>
        <v>5.91</v>
      </c>
      <c r="E33" s="766">
        <v>5.91</v>
      </c>
      <c r="F33" s="156">
        <v>44517</v>
      </c>
      <c r="G33" s="56"/>
      <c r="H33" s="539"/>
      <c r="I33" s="63"/>
      <c r="J33" s="66"/>
      <c r="K33" s="70"/>
      <c r="L33" s="73"/>
      <c r="M33" s="77"/>
      <c r="N33" s="80"/>
      <c r="O33" s="84"/>
      <c r="P33" s="87"/>
      <c r="Q33" s="91"/>
      <c r="R33" s="94"/>
    </row>
    <row r="34" spans="2:18" x14ac:dyDescent="0.25">
      <c r="B34" s="12" t="s">
        <v>76</v>
      </c>
      <c r="C34" s="349" t="s">
        <v>4</v>
      </c>
      <c r="D34" s="279" cm="1">
        <f t="array" aca="1" ref="D34" ca="1">INDIRECT(ADDRESS(ROW(),MATCH(MAX(F34,H34,J34,L34,N34,P34,R34),E34:R34,0)-1+COLUMNS(A34:D34),4))</f>
        <v>6.7</v>
      </c>
      <c r="E34" s="773">
        <v>3.6</v>
      </c>
      <c r="F34" s="173">
        <v>43875</v>
      </c>
      <c r="G34" s="56">
        <v>6.7</v>
      </c>
      <c r="H34" s="747">
        <v>44391</v>
      </c>
      <c r="I34" s="63"/>
      <c r="J34" s="66"/>
      <c r="K34" s="70"/>
      <c r="L34" s="73"/>
      <c r="M34" s="77"/>
      <c r="N34" s="80"/>
      <c r="O34" s="84"/>
      <c r="P34" s="87"/>
      <c r="Q34" s="91"/>
      <c r="R34" s="94"/>
    </row>
    <row r="35" spans="2:18" x14ac:dyDescent="0.25">
      <c r="B35" s="159" t="s">
        <v>454</v>
      </c>
      <c r="C35" s="160" t="s">
        <v>4</v>
      </c>
      <c r="D35" s="279" cm="1">
        <f t="array" aca="1" ref="D35" ca="1">INDIRECT(ADDRESS(ROW(),MATCH(MAX(F35,H35,J35,L35,N35,P35,R35),E35:R35,0)-1+COLUMNS(A35:D35),4))</f>
        <v>5.04</v>
      </c>
      <c r="E35" s="822">
        <f>4.2*1.2</f>
        <v>5.04</v>
      </c>
      <c r="F35" s="174">
        <v>44152</v>
      </c>
      <c r="G35" s="56"/>
      <c r="H35" s="59"/>
      <c r="I35" s="63"/>
      <c r="J35" s="66"/>
      <c r="K35" s="70"/>
      <c r="L35" s="73"/>
      <c r="M35" s="77"/>
      <c r="N35" s="80"/>
      <c r="O35" s="84"/>
      <c r="P35" s="87"/>
      <c r="Q35" s="91"/>
      <c r="R35" s="94"/>
    </row>
    <row r="36" spans="2:18" x14ac:dyDescent="0.25">
      <c r="B36" s="159" t="s">
        <v>445</v>
      </c>
      <c r="C36" s="160" t="s">
        <v>4</v>
      </c>
      <c r="D36" s="279" cm="1">
        <f t="array" aca="1" ref="D36" ca="1">INDIRECT(ADDRESS(ROW(),MATCH(MAX(F36,H36,J36,L36,N36,P36,R36),E36:R36,0)-1+COLUMNS(A36:D36),4))</f>
        <v>5.8</v>
      </c>
      <c r="E36" s="822">
        <v>7.3250000000000002</v>
      </c>
      <c r="F36" s="174">
        <v>44547</v>
      </c>
      <c r="G36" s="56">
        <v>6.09</v>
      </c>
      <c r="H36" s="59">
        <v>44790</v>
      </c>
      <c r="I36" s="63">
        <v>6.2</v>
      </c>
      <c r="J36" s="66">
        <v>44791</v>
      </c>
      <c r="K36" s="70">
        <v>5.8</v>
      </c>
      <c r="L36" s="73">
        <v>45040</v>
      </c>
      <c r="M36" s="77"/>
      <c r="N36" s="80"/>
      <c r="O36" s="84"/>
      <c r="P36" s="87"/>
      <c r="Q36" s="91"/>
      <c r="R36" s="94"/>
    </row>
    <row r="37" spans="2:18" x14ac:dyDescent="0.25">
      <c r="B37" s="159" t="s">
        <v>455</v>
      </c>
      <c r="C37" s="160" t="s">
        <v>4</v>
      </c>
      <c r="D37" s="279" cm="1">
        <f t="array" aca="1" ref="D37" ca="1">INDIRECT(ADDRESS(ROW(),MATCH(MAX(F37,H37,J37,L37,N37,P37,R37),E37:R37,0)-1+COLUMNS(A37:D37),4))</f>
        <v>6.1420000000000003</v>
      </c>
      <c r="E37" s="822">
        <v>6.1420000000000003</v>
      </c>
      <c r="F37" s="174">
        <v>45007</v>
      </c>
      <c r="G37" s="56"/>
      <c r="H37" s="59"/>
      <c r="I37" s="63"/>
      <c r="J37" s="66"/>
      <c r="K37" s="70"/>
      <c r="L37" s="73"/>
      <c r="M37" s="77"/>
      <c r="N37" s="80"/>
      <c r="O37" s="84"/>
      <c r="P37" s="87"/>
      <c r="Q37" s="91"/>
      <c r="R37" s="94"/>
    </row>
    <row r="38" spans="2:18" x14ac:dyDescent="0.25">
      <c r="B38" s="159" t="s">
        <v>54</v>
      </c>
      <c r="C38" s="160" t="s">
        <v>4</v>
      </c>
      <c r="D38" s="279" cm="1">
        <f t="array" aca="1" ref="D38" ca="1">INDIRECT(ADDRESS(ROW(),MATCH(MAX(F38,H38,J38,L38,N38,P38,R38),E38:R38,0)-1+COLUMNS(A38:D38),4))</f>
        <v>5.99</v>
      </c>
      <c r="E38" s="822">
        <v>2.41</v>
      </c>
      <c r="F38" s="174">
        <v>44547</v>
      </c>
      <c r="G38" s="56">
        <v>5.99</v>
      </c>
      <c r="H38" s="59">
        <v>45007</v>
      </c>
      <c r="I38" s="63"/>
      <c r="J38" s="66"/>
      <c r="K38" s="70"/>
      <c r="L38" s="73"/>
      <c r="M38" s="77"/>
      <c r="N38" s="80"/>
      <c r="O38" s="84"/>
      <c r="P38" s="87"/>
      <c r="Q38" s="91"/>
      <c r="R38" s="94"/>
    </row>
    <row r="39" spans="2:18" x14ac:dyDescent="0.25">
      <c r="B39" s="749" t="s">
        <v>55</v>
      </c>
      <c r="C39" s="349" t="s">
        <v>4</v>
      </c>
      <c r="D39" s="765" cm="1">
        <f t="array" aca="1" ref="D39" ca="1">INDIRECT(ADDRESS(ROW(),MATCH(MAX(F39,H39,J39,L39,N39,P39,R39),E39:R39,0)-1+COLUMNS(A39:D39),4))</f>
        <v>9.9594000000000005</v>
      </c>
      <c r="E39" s="823">
        <f>1.98*Euro!B3</f>
        <v>9.9594000000000005</v>
      </c>
      <c r="F39" s="156">
        <v>44547</v>
      </c>
      <c r="G39" s="58"/>
      <c r="H39" s="59"/>
      <c r="I39" s="65"/>
      <c r="J39" s="66"/>
      <c r="K39" s="72"/>
      <c r="L39" s="73"/>
      <c r="M39" s="79"/>
      <c r="N39" s="80"/>
      <c r="O39" s="86"/>
      <c r="P39" s="87"/>
      <c r="Q39" s="93"/>
      <c r="R39" s="94"/>
    </row>
    <row r="40" spans="2:18" ht="15.75" thickBot="1" x14ac:dyDescent="0.3">
      <c r="B40" s="748" t="s">
        <v>82</v>
      </c>
      <c r="C40" s="294" t="s">
        <v>4</v>
      </c>
      <c r="D40" s="757" cm="1">
        <f t="array" aca="1" ref="D40" ca="1">INDIRECT(ADDRESS(ROW(),MATCH(MAX(F40,H40,J40,L40,N40,P40,R40),E40:R40,0)-1+COLUMNS(A40:D40),4))</f>
        <v>11.4</v>
      </c>
      <c r="E40" s="824">
        <v>11.4</v>
      </c>
      <c r="F40" s="200">
        <v>44265</v>
      </c>
      <c r="G40" s="524"/>
      <c r="H40" s="489"/>
      <c r="I40" s="392"/>
      <c r="J40" s="360"/>
      <c r="K40" s="525"/>
      <c r="L40" s="491"/>
      <c r="M40" s="393"/>
      <c r="N40" s="362"/>
      <c r="O40" s="526"/>
      <c r="P40" s="493"/>
      <c r="Q40" s="394"/>
      <c r="R40" s="363"/>
    </row>
    <row r="41" spans="2:18" ht="15.75" thickBot="1" x14ac:dyDescent="0.3">
      <c r="D41" s="43"/>
    </row>
    <row r="42" spans="2:18" ht="16.5" thickBot="1" x14ac:dyDescent="0.3">
      <c r="B42" s="937" t="s">
        <v>81</v>
      </c>
      <c r="C42" s="939"/>
      <c r="D42" s="43"/>
      <c r="E42" s="101"/>
      <c r="F42" s="101"/>
      <c r="G42" s="13"/>
    </row>
    <row r="43" spans="2:18" x14ac:dyDescent="0.25">
      <c r="B43" s="946" t="s">
        <v>28</v>
      </c>
      <c r="C43" s="948" t="s">
        <v>29</v>
      </c>
      <c r="D43" s="769" t="s">
        <v>418</v>
      </c>
      <c r="E43" s="122" t="s">
        <v>178</v>
      </c>
      <c r="F43" s="993" t="s">
        <v>39</v>
      </c>
      <c r="G43" s="126" t="s">
        <v>178</v>
      </c>
      <c r="H43" s="981" t="s">
        <v>39</v>
      </c>
      <c r="I43" s="130" t="s">
        <v>178</v>
      </c>
      <c r="J43" s="983" t="s">
        <v>39</v>
      </c>
      <c r="K43" s="132" t="s">
        <v>178</v>
      </c>
      <c r="L43" s="985" t="s">
        <v>39</v>
      </c>
      <c r="M43" s="134" t="s">
        <v>178</v>
      </c>
      <c r="N43" s="987" t="s">
        <v>39</v>
      </c>
      <c r="O43" s="136" t="s">
        <v>178</v>
      </c>
      <c r="P43" s="989" t="s">
        <v>39</v>
      </c>
      <c r="Q43" s="138" t="s">
        <v>178</v>
      </c>
      <c r="R43" s="991" t="s">
        <v>39</v>
      </c>
    </row>
    <row r="44" spans="2:18" ht="15.75" thickBot="1" x14ac:dyDescent="0.3">
      <c r="B44" s="947"/>
      <c r="C44" s="949"/>
      <c r="D44" s="788" t="s">
        <v>419</v>
      </c>
      <c r="E44" s="123" t="s">
        <v>179</v>
      </c>
      <c r="F44" s="994"/>
      <c r="G44" s="127" t="s">
        <v>179</v>
      </c>
      <c r="H44" s="982"/>
      <c r="I44" s="131" t="s">
        <v>179</v>
      </c>
      <c r="J44" s="984"/>
      <c r="K44" s="133" t="s">
        <v>179</v>
      </c>
      <c r="L44" s="986"/>
      <c r="M44" s="135" t="s">
        <v>179</v>
      </c>
      <c r="N44" s="988"/>
      <c r="O44" s="137" t="s">
        <v>179</v>
      </c>
      <c r="P44" s="990"/>
      <c r="Q44" s="139" t="s">
        <v>179</v>
      </c>
      <c r="R44" s="992"/>
    </row>
    <row r="45" spans="2:18" x14ac:dyDescent="0.25">
      <c r="B45" s="194" t="s">
        <v>82</v>
      </c>
      <c r="C45" s="826" t="s">
        <v>4</v>
      </c>
      <c r="D45" s="814" cm="1">
        <f t="array" aca="1" ref="D45" ca="1">INDIRECT(ADDRESS(ROW(),MATCH(MAX(F45,H45,J45,L45,N45,P45,R45),E45:R45,0)-1+COLUMNS(A45:D45),4))</f>
        <v>14.4864</v>
      </c>
      <c r="E45" s="772">
        <f>2.4*Euro!B3*1.2</f>
        <v>14.4864</v>
      </c>
      <c r="F45" s="543">
        <v>44158</v>
      </c>
      <c r="G45" s="175"/>
      <c r="H45" s="176"/>
      <c r="I45" s="177"/>
      <c r="J45" s="178"/>
      <c r="K45" s="179"/>
      <c r="L45" s="180"/>
      <c r="M45" s="181"/>
      <c r="N45" s="182"/>
      <c r="O45" s="183"/>
      <c r="P45" s="184"/>
      <c r="Q45" s="185"/>
      <c r="R45" s="186"/>
    </row>
    <row r="46" spans="2:18" ht="15.75" thickBot="1" x14ac:dyDescent="0.3">
      <c r="B46" s="14" t="s">
        <v>83</v>
      </c>
      <c r="C46" s="827" t="s">
        <v>4</v>
      </c>
      <c r="D46" s="787" cm="1">
        <f t="array" aca="1" ref="D46" ca="1">INDIRECT(ADDRESS(ROW(),MATCH(MAX(F46,H46,J46,L46,N46,P46,R46),E46:R46,0)-1+COLUMNS(A46:D46),4))</f>
        <v>14.4864</v>
      </c>
      <c r="E46" s="828">
        <f>2.4*Euro!B3*1.2</f>
        <v>14.4864</v>
      </c>
      <c r="F46" s="736">
        <v>44523</v>
      </c>
      <c r="G46" s="188"/>
      <c r="H46" s="60"/>
      <c r="I46" s="189"/>
      <c r="J46" s="67"/>
      <c r="K46" s="190"/>
      <c r="L46" s="74"/>
      <c r="M46" s="191"/>
      <c r="N46" s="81"/>
      <c r="O46" s="192"/>
      <c r="P46" s="88"/>
      <c r="Q46" s="193"/>
      <c r="R46" s="96"/>
    </row>
    <row r="47" spans="2:18" ht="15.75" thickBot="1" x14ac:dyDescent="0.3">
      <c r="B47" s="13"/>
      <c r="C47" s="11"/>
      <c r="D47" s="199"/>
      <c r="E47" s="198"/>
      <c r="F47" s="11"/>
      <c r="G47" s="199"/>
      <c r="H47" s="141"/>
      <c r="I47" s="199"/>
      <c r="J47" s="141"/>
      <c r="K47" s="199"/>
      <c r="L47" s="141"/>
      <c r="M47" s="199"/>
      <c r="N47" s="141"/>
      <c r="O47" s="199"/>
      <c r="P47" s="141"/>
      <c r="Q47" s="199"/>
      <c r="R47" s="141"/>
    </row>
    <row r="48" spans="2:18" ht="16.5" thickBot="1" x14ac:dyDescent="0.3">
      <c r="B48" s="995" t="s">
        <v>253</v>
      </c>
      <c r="C48" s="996"/>
      <c r="D48" s="199"/>
    </row>
    <row r="49" spans="2:19" x14ac:dyDescent="0.25">
      <c r="B49" s="946" t="s">
        <v>28</v>
      </c>
      <c r="C49" s="948" t="s">
        <v>29</v>
      </c>
      <c r="D49" s="769" t="s">
        <v>418</v>
      </c>
      <c r="E49" s="122" t="s">
        <v>178</v>
      </c>
      <c r="F49" s="993" t="s">
        <v>39</v>
      </c>
      <c r="G49" s="126" t="s">
        <v>178</v>
      </c>
      <c r="H49" s="981" t="s">
        <v>39</v>
      </c>
      <c r="I49" s="130" t="s">
        <v>178</v>
      </c>
      <c r="J49" s="983" t="s">
        <v>39</v>
      </c>
      <c r="K49" s="132" t="s">
        <v>178</v>
      </c>
      <c r="L49" s="985" t="s">
        <v>39</v>
      </c>
      <c r="M49" s="134" t="s">
        <v>178</v>
      </c>
      <c r="N49" s="987" t="s">
        <v>39</v>
      </c>
      <c r="O49" s="136" t="s">
        <v>178</v>
      </c>
      <c r="P49" s="989" t="s">
        <v>39</v>
      </c>
      <c r="Q49" s="138" t="s">
        <v>178</v>
      </c>
      <c r="R49" s="991" t="s">
        <v>39</v>
      </c>
    </row>
    <row r="50" spans="2:19" ht="15.75" thickBot="1" x14ac:dyDescent="0.3">
      <c r="B50" s="947"/>
      <c r="C50" s="949"/>
      <c r="D50" s="788" t="s">
        <v>419</v>
      </c>
      <c r="E50" s="123" t="s">
        <v>179</v>
      </c>
      <c r="F50" s="994"/>
      <c r="G50" s="127" t="s">
        <v>179</v>
      </c>
      <c r="H50" s="982"/>
      <c r="I50" s="131" t="s">
        <v>179</v>
      </c>
      <c r="J50" s="984"/>
      <c r="K50" s="133" t="s">
        <v>179</v>
      </c>
      <c r="L50" s="986"/>
      <c r="M50" s="135" t="s">
        <v>179</v>
      </c>
      <c r="N50" s="988"/>
      <c r="O50" s="137" t="s">
        <v>179</v>
      </c>
      <c r="P50" s="990"/>
      <c r="Q50" s="139" t="s">
        <v>179</v>
      </c>
      <c r="R50" s="992"/>
    </row>
    <row r="51" spans="2:19" x14ac:dyDescent="0.25">
      <c r="B51" s="540" t="s">
        <v>262</v>
      </c>
      <c r="C51" s="683" t="s">
        <v>4</v>
      </c>
      <c r="D51" s="750" cm="1">
        <f t="array" aca="1" ref="D51" ca="1">INDIRECT(ADDRESS(ROW(),MATCH(MAX(F51,H51,J51,L51,N51,P51,R51),E51:R51,0)-1+COLUMNS(A51:D51),4))</f>
        <v>4.8600000000000003</v>
      </c>
      <c r="E51" s="306">
        <v>6.5</v>
      </c>
      <c r="F51" s="685">
        <v>44391</v>
      </c>
      <c r="G51" s="175">
        <v>8.4</v>
      </c>
      <c r="H51" s="55">
        <v>44417</v>
      </c>
      <c r="I51" s="177">
        <v>5.3</v>
      </c>
      <c r="J51" s="62">
        <v>44606</v>
      </c>
      <c r="K51" s="179">
        <v>8.1999999999999993</v>
      </c>
      <c r="L51" s="69">
        <v>44700</v>
      </c>
      <c r="M51" s="181">
        <v>6.2</v>
      </c>
      <c r="N51" s="76">
        <v>44795</v>
      </c>
      <c r="O51" s="183">
        <v>4.5999999999999996</v>
      </c>
      <c r="P51" s="83">
        <v>44819</v>
      </c>
      <c r="Q51" s="681">
        <v>4.8600000000000003</v>
      </c>
      <c r="R51" s="94">
        <v>44847</v>
      </c>
    </row>
    <row r="52" spans="2:19" ht="15.75" thickBot="1" x14ac:dyDescent="0.3">
      <c r="B52" s="7" t="s">
        <v>293</v>
      </c>
      <c r="C52" s="684" t="s">
        <v>4</v>
      </c>
      <c r="D52" s="734" cm="1">
        <f t="array" aca="1" ref="D52" ca="1">INDIRECT(ADDRESS(ROW(),MATCH(MAX(F52,H52,J52,L52,N52,P52,R52),E52:R52,0)-1+COLUMNS(A52:D52),4))</f>
        <v>5.4</v>
      </c>
      <c r="E52" s="305">
        <v>5.86</v>
      </c>
      <c r="F52" s="195">
        <v>44547</v>
      </c>
      <c r="G52" s="374">
        <v>6</v>
      </c>
      <c r="H52" s="60">
        <v>44581</v>
      </c>
      <c r="I52" s="384">
        <v>8.4</v>
      </c>
      <c r="J52" s="67">
        <v>44644</v>
      </c>
      <c r="K52" s="680">
        <v>9</v>
      </c>
      <c r="L52" s="74">
        <v>44680</v>
      </c>
      <c r="M52" s="388">
        <v>5</v>
      </c>
      <c r="N52" s="81">
        <v>44894</v>
      </c>
      <c r="O52" s="192">
        <v>5.4</v>
      </c>
      <c r="P52" s="88">
        <v>44932</v>
      </c>
      <c r="Q52" s="682"/>
      <c r="R52" s="96"/>
    </row>
    <row r="53" spans="2:19" ht="15.75" thickBot="1" x14ac:dyDescent="0.3"/>
    <row r="54" spans="2:19" ht="15.75" thickBot="1" x14ac:dyDescent="0.3">
      <c r="B54" s="967" t="s">
        <v>242</v>
      </c>
      <c r="C54" s="980"/>
      <c r="D54" s="968"/>
      <c r="E54" s="101"/>
      <c r="F54" s="101"/>
    </row>
    <row r="55" spans="2:19" x14ac:dyDescent="0.25">
      <c r="B55" s="17" t="s">
        <v>28</v>
      </c>
      <c r="C55" s="18" t="s">
        <v>29</v>
      </c>
      <c r="D55" s="18" t="s">
        <v>133</v>
      </c>
      <c r="E55" s="769" t="s">
        <v>418</v>
      </c>
      <c r="F55" s="122" t="s">
        <v>178</v>
      </c>
      <c r="G55" s="727" t="s">
        <v>39</v>
      </c>
      <c r="H55" s="126" t="s">
        <v>178</v>
      </c>
      <c r="I55" s="162" t="s">
        <v>39</v>
      </c>
      <c r="J55" s="130" t="s">
        <v>178</v>
      </c>
      <c r="K55" s="124" t="s">
        <v>39</v>
      </c>
      <c r="L55" s="132" t="s">
        <v>178</v>
      </c>
      <c r="M55" s="128" t="s">
        <v>39</v>
      </c>
      <c r="N55" s="134" t="s">
        <v>178</v>
      </c>
      <c r="O55" s="163" t="s">
        <v>39</v>
      </c>
      <c r="P55" s="136" t="s">
        <v>178</v>
      </c>
      <c r="Q55" s="164" t="s">
        <v>39</v>
      </c>
      <c r="R55" s="138" t="s">
        <v>178</v>
      </c>
      <c r="S55" s="165" t="s">
        <v>39</v>
      </c>
    </row>
    <row r="56" spans="2:19" ht="15.75" thickBot="1" x14ac:dyDescent="0.3">
      <c r="B56" s="38"/>
      <c r="C56" s="21"/>
      <c r="D56" s="21"/>
      <c r="E56" s="278" t="s">
        <v>419</v>
      </c>
      <c r="F56" s="123" t="s">
        <v>179</v>
      </c>
      <c r="G56" s="728"/>
      <c r="H56" s="127" t="s">
        <v>179</v>
      </c>
      <c r="I56" s="167"/>
      <c r="J56" s="131" t="s">
        <v>179</v>
      </c>
      <c r="K56" s="125"/>
      <c r="L56" s="133" t="s">
        <v>179</v>
      </c>
      <c r="M56" s="129"/>
      <c r="N56" s="135" t="s">
        <v>179</v>
      </c>
      <c r="O56" s="168"/>
      <c r="P56" s="137" t="s">
        <v>179</v>
      </c>
      <c r="Q56" s="169"/>
      <c r="R56" s="139" t="s">
        <v>179</v>
      </c>
      <c r="S56" s="170"/>
    </row>
    <row r="57" spans="2:19" x14ac:dyDescent="0.25">
      <c r="B57" s="22" t="s">
        <v>361</v>
      </c>
      <c r="C57" s="9" t="s">
        <v>4</v>
      </c>
      <c r="D57" s="412" t="s">
        <v>139</v>
      </c>
      <c r="E57" s="814" cm="1">
        <f t="array" aca="1" ref="E57" ca="1">INDIRECT(ADDRESS(ROW(),MATCH(MAX(G57,I57,K57,M57,O57,Q57,S57),F57:S57,0)-1+COLUMNS(A57:E57),4))</f>
        <v>27.413500000000003</v>
      </c>
      <c r="F57" s="415">
        <f>4.15*Euro!B3</f>
        <v>20.874500000000001</v>
      </c>
      <c r="G57" s="740">
        <v>44391</v>
      </c>
      <c r="H57" s="175">
        <v>29</v>
      </c>
      <c r="I57" s="55">
        <v>44638</v>
      </c>
      <c r="J57" s="299">
        <f>5.45*Euro!B$3</f>
        <v>27.413500000000003</v>
      </c>
      <c r="K57" s="62">
        <v>44732</v>
      </c>
      <c r="L57" s="364"/>
      <c r="M57" s="366"/>
      <c r="N57" s="181"/>
      <c r="O57" s="76"/>
      <c r="P57" s="368"/>
      <c r="Q57" s="370"/>
      <c r="R57" s="185"/>
      <c r="S57" s="90"/>
    </row>
    <row r="58" spans="2:19" x14ac:dyDescent="0.25">
      <c r="B58" s="22" t="s">
        <v>361</v>
      </c>
      <c r="C58" s="9" t="s">
        <v>4</v>
      </c>
      <c r="D58" s="99" t="s">
        <v>138</v>
      </c>
      <c r="E58" s="765" cm="1">
        <f t="array" aca="1" ref="E58" ca="1">INDIRECT(ADDRESS(ROW(),MATCH(MAX(G58,I58,K58,M58,O58,Q58,S58),F58:S58,0)-1+COLUMNS(A58:E58),4))</f>
        <v>39</v>
      </c>
      <c r="F58" s="377">
        <v>22</v>
      </c>
      <c r="G58" s="432">
        <v>44510</v>
      </c>
      <c r="H58" s="56">
        <v>23</v>
      </c>
      <c r="I58" s="59">
        <v>44582</v>
      </c>
      <c r="J58" s="406">
        <v>24</v>
      </c>
      <c r="K58" s="407">
        <v>44606</v>
      </c>
      <c r="L58" s="364">
        <v>29</v>
      </c>
      <c r="M58" s="366">
        <v>44638</v>
      </c>
      <c r="N58" s="408">
        <v>27.5</v>
      </c>
      <c r="O58" s="409">
        <v>44894</v>
      </c>
      <c r="P58" s="368">
        <v>27</v>
      </c>
      <c r="Q58" s="370">
        <v>44932</v>
      </c>
      <c r="R58" s="410">
        <v>39</v>
      </c>
      <c r="S58" s="411">
        <v>45154</v>
      </c>
    </row>
    <row r="59" spans="2:19" x14ac:dyDescent="0.25">
      <c r="B59" s="2" t="s">
        <v>449</v>
      </c>
      <c r="C59" s="9" t="s">
        <v>4</v>
      </c>
      <c r="D59" s="413" t="s">
        <v>197</v>
      </c>
      <c r="E59" s="765" cm="1">
        <f t="array" aca="1" ref="E59" ca="1">INDIRECT(ADDRESS(ROW(),MATCH(MAX(G59,I59,K59,M59,O59,Q59,S59),F59:S59,0)-1+COLUMNS(A59:E59),4))</f>
        <v>18</v>
      </c>
      <c r="F59" s="377">
        <v>18</v>
      </c>
      <c r="G59" s="432">
        <v>44365</v>
      </c>
      <c r="H59" s="56"/>
      <c r="I59" s="59"/>
      <c r="J59" s="406"/>
      <c r="K59" s="407"/>
      <c r="L59" s="364"/>
      <c r="M59" s="366"/>
      <c r="N59" s="408"/>
      <c r="O59" s="409"/>
      <c r="P59" s="368"/>
      <c r="Q59" s="370"/>
      <c r="R59" s="410"/>
      <c r="S59" s="411"/>
    </row>
    <row r="60" spans="2:19" x14ac:dyDescent="0.25">
      <c r="B60" s="5" t="s">
        <v>136</v>
      </c>
      <c r="C60" s="33" t="s">
        <v>4</v>
      </c>
      <c r="D60" s="349" t="s">
        <v>135</v>
      </c>
      <c r="E60" s="765" cm="1">
        <f t="array" aca="1" ref="E60" ca="1">INDIRECT(ADDRESS(ROW(),MATCH(MAX(G60,I60,K60,M60,O60,Q60,S60),F60:S60,0)-1+COLUMNS(A60:E60),4))</f>
        <v>26.4</v>
      </c>
      <c r="F60" s="377">
        <f>3.25*Euro!B3</f>
        <v>16.3475</v>
      </c>
      <c r="G60" s="432">
        <v>44251</v>
      </c>
      <c r="H60" s="58">
        <f>3.8*Euro!B$3</f>
        <v>19.114000000000001</v>
      </c>
      <c r="I60" s="59">
        <v>44382</v>
      </c>
      <c r="J60" s="63">
        <v>28</v>
      </c>
      <c r="K60" s="66">
        <v>44700</v>
      </c>
      <c r="L60" s="364">
        <v>26.4</v>
      </c>
      <c r="M60" s="366">
        <v>44932</v>
      </c>
      <c r="N60" s="77"/>
      <c r="O60" s="80"/>
      <c r="P60" s="368"/>
      <c r="Q60" s="370"/>
      <c r="R60" s="91"/>
      <c r="S60" s="94"/>
    </row>
    <row r="61" spans="2:19" x14ac:dyDescent="0.25">
      <c r="B61" s="5" t="s">
        <v>360</v>
      </c>
      <c r="C61" s="33" t="s">
        <v>4</v>
      </c>
      <c r="D61" s="414" t="s">
        <v>134</v>
      </c>
      <c r="E61" s="765" cm="1">
        <f t="array" aca="1" ref="E61" ca="1">INDIRECT(ADDRESS(ROW(),MATCH(MAX(G61,I61,K61,M61,O61,Q61,S61),F61:S61,0)-1+COLUMNS(A61:E61),4))</f>
        <v>23.641000000000002</v>
      </c>
      <c r="F61" s="377">
        <f>4.7*Euro!B3</f>
        <v>23.641000000000002</v>
      </c>
      <c r="G61" s="432">
        <v>44897</v>
      </c>
      <c r="H61" s="58">
        <f>5.45*Euro!B$3</f>
        <v>27.413500000000003</v>
      </c>
      <c r="I61" s="59">
        <v>44732</v>
      </c>
      <c r="J61" s="63"/>
      <c r="K61" s="66"/>
      <c r="L61" s="364"/>
      <c r="M61" s="366"/>
      <c r="N61" s="77"/>
      <c r="O61" s="80"/>
      <c r="P61" s="368"/>
      <c r="Q61" s="370"/>
      <c r="R61" s="91"/>
      <c r="S61" s="94"/>
    </row>
    <row r="62" spans="2:19" x14ac:dyDescent="0.25">
      <c r="B62" s="5" t="s">
        <v>187</v>
      </c>
      <c r="C62" s="33" t="s">
        <v>4</v>
      </c>
      <c r="D62" s="414" t="s">
        <v>134</v>
      </c>
      <c r="E62" s="765" cm="1">
        <f t="array" aca="1" ref="E62" ca="1">INDIRECT(ADDRESS(ROW(),MATCH(MAX(G62,I62,K62,M62,O62,Q62,S62),F62:S62,0)-1+COLUMNS(A62:E62),4))</f>
        <v>18.862500000000001</v>
      </c>
      <c r="F62" s="377">
        <f>3.75*Euro!B$3</f>
        <v>18.862500000000001</v>
      </c>
      <c r="G62" s="432">
        <v>44384</v>
      </c>
      <c r="H62" s="58"/>
      <c r="I62" s="59"/>
      <c r="J62" s="65"/>
      <c r="K62" s="66"/>
      <c r="L62" s="395"/>
      <c r="M62" s="366"/>
      <c r="N62" s="79"/>
      <c r="O62" s="80"/>
      <c r="P62" s="397"/>
      <c r="Q62" s="370"/>
      <c r="R62" s="93"/>
      <c r="S62" s="94"/>
    </row>
    <row r="63" spans="2:19" x14ac:dyDescent="0.25">
      <c r="B63" s="5" t="s">
        <v>359</v>
      </c>
      <c r="C63" s="33" t="s">
        <v>4</v>
      </c>
      <c r="D63" s="414" t="s">
        <v>139</v>
      </c>
      <c r="E63" s="765" cm="1">
        <f t="array" aca="1" ref="E63" ca="1">INDIRECT(ADDRESS(ROW(),MATCH(MAX(G63,I63,K63,M63,O63,Q63,S63),F63:S63,0)-1+COLUMNS(A63:E63),4))</f>
        <v>24.898500000000002</v>
      </c>
      <c r="F63" s="623">
        <f>4.95*Euro!B$3</f>
        <v>24.898500000000002</v>
      </c>
      <c r="G63" s="632">
        <v>44732</v>
      </c>
      <c r="H63" s="624"/>
      <c r="I63" s="447"/>
      <c r="J63" s="625"/>
      <c r="K63" s="320"/>
      <c r="L63" s="626"/>
      <c r="M63" s="627"/>
      <c r="N63" s="628"/>
      <c r="O63" s="322"/>
      <c r="P63" s="629"/>
      <c r="Q63" s="630"/>
      <c r="R63" s="631"/>
      <c r="S63" s="324"/>
    </row>
    <row r="64" spans="2:19" ht="15.75" thickBot="1" x14ac:dyDescent="0.3">
      <c r="B64" s="5" t="s">
        <v>188</v>
      </c>
      <c r="C64" s="33" t="s">
        <v>4</v>
      </c>
      <c r="D64" s="414" t="s">
        <v>134</v>
      </c>
      <c r="E64" s="787" cm="1">
        <f t="array" aca="1" ref="E64" ca="1">INDIRECT(ADDRESS(ROW(),MATCH(MAX(G64,I64,K64,M64,O64,Q64,S64),F64:S64,0)-1+COLUMNS(A64:E64),4))</f>
        <v>18.862500000000001</v>
      </c>
      <c r="F64" s="416">
        <f>3.75*Euro!B$3</f>
        <v>18.862500000000001</v>
      </c>
      <c r="G64" s="741">
        <v>44749</v>
      </c>
      <c r="H64" s="188"/>
      <c r="I64" s="60"/>
      <c r="J64" s="392"/>
      <c r="K64" s="360"/>
      <c r="L64" s="396"/>
      <c r="M64" s="367"/>
      <c r="N64" s="393"/>
      <c r="O64" s="362"/>
      <c r="P64" s="398"/>
      <c r="Q64" s="371"/>
      <c r="R64" s="394"/>
      <c r="S64" s="363"/>
    </row>
    <row r="65" spans="2:19" ht="15.75" thickBot="1" x14ac:dyDescent="0.3">
      <c r="C65" s="11"/>
      <c r="D65" s="11"/>
      <c r="E65" s="199"/>
      <c r="F65" s="11"/>
      <c r="G65" s="11"/>
    </row>
    <row r="66" spans="2:19" ht="15.75" thickBot="1" x14ac:dyDescent="0.3">
      <c r="B66" s="967" t="s">
        <v>243</v>
      </c>
      <c r="C66" s="980"/>
      <c r="D66" s="968"/>
      <c r="F66" s="43"/>
      <c r="G66" s="43"/>
    </row>
    <row r="67" spans="2:19" x14ac:dyDescent="0.25">
      <c r="B67" s="17" t="s">
        <v>28</v>
      </c>
      <c r="C67" s="18" t="s">
        <v>29</v>
      </c>
      <c r="D67" s="18" t="s">
        <v>133</v>
      </c>
      <c r="E67" s="769" t="s">
        <v>418</v>
      </c>
      <c r="F67" s="122" t="s">
        <v>178</v>
      </c>
      <c r="G67" s="727" t="s">
        <v>39</v>
      </c>
      <c r="H67" s="126" t="s">
        <v>178</v>
      </c>
      <c r="I67" s="162" t="s">
        <v>39</v>
      </c>
      <c r="J67" s="130" t="s">
        <v>178</v>
      </c>
      <c r="K67" s="124" t="s">
        <v>39</v>
      </c>
      <c r="L67" s="132" t="s">
        <v>178</v>
      </c>
      <c r="M67" s="128" t="s">
        <v>39</v>
      </c>
      <c r="N67" s="134" t="s">
        <v>178</v>
      </c>
      <c r="O67" s="163" t="s">
        <v>39</v>
      </c>
      <c r="P67" s="136" t="s">
        <v>178</v>
      </c>
      <c r="Q67" s="164" t="s">
        <v>39</v>
      </c>
      <c r="R67" s="138" t="s">
        <v>178</v>
      </c>
      <c r="S67" s="165" t="s">
        <v>39</v>
      </c>
    </row>
    <row r="68" spans="2:19" ht="15.75" thickBot="1" x14ac:dyDescent="0.3">
      <c r="B68" s="53"/>
      <c r="C68" s="21"/>
      <c r="D68" s="21"/>
      <c r="E68" s="278" t="s">
        <v>419</v>
      </c>
      <c r="F68" s="123" t="s">
        <v>179</v>
      </c>
      <c r="G68" s="728"/>
      <c r="H68" s="127" t="s">
        <v>179</v>
      </c>
      <c r="I68" s="167"/>
      <c r="J68" s="131" t="s">
        <v>179</v>
      </c>
      <c r="K68" s="125"/>
      <c r="L68" s="133" t="s">
        <v>179</v>
      </c>
      <c r="M68" s="129"/>
      <c r="N68" s="135" t="s">
        <v>179</v>
      </c>
      <c r="O68" s="168"/>
      <c r="P68" s="137" t="s">
        <v>179</v>
      </c>
      <c r="Q68" s="169"/>
      <c r="R68" s="139" t="s">
        <v>179</v>
      </c>
      <c r="S68" s="170"/>
    </row>
    <row r="69" spans="2:19" ht="15.75" thickBot="1" x14ac:dyDescent="0.3">
      <c r="B69" s="19" t="s">
        <v>132</v>
      </c>
      <c r="C69" s="20" t="s">
        <v>4</v>
      </c>
      <c r="D69" s="20" t="s">
        <v>134</v>
      </c>
      <c r="E69" s="787" cm="1">
        <f t="array" aca="1" ref="E69" ca="1">INDIRECT(ADDRESS(ROW(),MATCH(MAX(G69,I69,K69,M69,O69,Q69,S69),F69:S69,0)-1+COLUMNS(A69:E69),4))</f>
        <v>20.12</v>
      </c>
      <c r="F69" s="829">
        <f>4*Euro!B3</f>
        <v>20.12</v>
      </c>
      <c r="G69" s="736">
        <v>44251</v>
      </c>
      <c r="H69" s="188"/>
      <c r="I69" s="60"/>
      <c r="J69" s="189"/>
      <c r="K69" s="67"/>
      <c r="L69" s="190"/>
      <c r="M69" s="74"/>
      <c r="N69" s="191"/>
      <c r="O69" s="81"/>
      <c r="P69" s="192"/>
      <c r="Q69" s="88"/>
      <c r="R69" s="193"/>
      <c r="S69" s="96"/>
    </row>
    <row r="70" spans="2:19" ht="15.75" thickBot="1" x14ac:dyDescent="0.3"/>
    <row r="71" spans="2:19" ht="15.75" thickBot="1" x14ac:dyDescent="0.3">
      <c r="B71" s="866"/>
      <c r="C71" s="867"/>
      <c r="D71" s="860" t="s">
        <v>432</v>
      </c>
      <c r="E71" s="861" t="s">
        <v>29</v>
      </c>
      <c r="F71" s="861" t="s">
        <v>426</v>
      </c>
      <c r="G71" s="861" t="s">
        <v>427</v>
      </c>
      <c r="H71" s="862" t="s">
        <v>428</v>
      </c>
      <c r="I71" s="863" t="s">
        <v>429</v>
      </c>
      <c r="J71" s="863" t="s">
        <v>430</v>
      </c>
    </row>
    <row r="72" spans="2:19" ht="16.5" thickBot="1" x14ac:dyDescent="0.3">
      <c r="B72" s="935" t="s">
        <v>424</v>
      </c>
      <c r="C72" s="936"/>
      <c r="D72" s="865" t="s">
        <v>507</v>
      </c>
      <c r="E72" s="695" t="s">
        <v>4</v>
      </c>
      <c r="F72" s="864"/>
      <c r="G72" s="859">
        <v>39</v>
      </c>
      <c r="H72" s="864">
        <f>G72*F72</f>
        <v>0</v>
      </c>
      <c r="I72" s="864"/>
      <c r="J72" s="864"/>
      <c r="L72" s="871"/>
    </row>
    <row r="74" spans="2:19" x14ac:dyDescent="0.25">
      <c r="D74" s="872"/>
      <c r="E74" s="873"/>
    </row>
    <row r="75" spans="2:19" x14ac:dyDescent="0.25">
      <c r="D75" s="872"/>
      <c r="E75" s="874"/>
    </row>
  </sheetData>
  <dataConsolidate/>
  <mergeCells count="33">
    <mergeCell ref="H3:H4"/>
    <mergeCell ref="B3:B4"/>
    <mergeCell ref="C3:C4"/>
    <mergeCell ref="B2:C2"/>
    <mergeCell ref="B48:C48"/>
    <mergeCell ref="R49:R50"/>
    <mergeCell ref="F3:F4"/>
    <mergeCell ref="B49:B50"/>
    <mergeCell ref="C49:C50"/>
    <mergeCell ref="F49:F50"/>
    <mergeCell ref="R3:R4"/>
    <mergeCell ref="B42:C42"/>
    <mergeCell ref="B43:B44"/>
    <mergeCell ref="C43:C44"/>
    <mergeCell ref="F43:F44"/>
    <mergeCell ref="H43:H44"/>
    <mergeCell ref="J43:J44"/>
    <mergeCell ref="L43:L44"/>
    <mergeCell ref="N43:N44"/>
    <mergeCell ref="P43:P44"/>
    <mergeCell ref="R43:R44"/>
    <mergeCell ref="N49:N50"/>
    <mergeCell ref="P49:P50"/>
    <mergeCell ref="J3:J4"/>
    <mergeCell ref="L3:L4"/>
    <mergeCell ref="N3:N4"/>
    <mergeCell ref="P3:P4"/>
    <mergeCell ref="B72:C72"/>
    <mergeCell ref="B66:D66"/>
    <mergeCell ref="H49:H50"/>
    <mergeCell ref="J49:J50"/>
    <mergeCell ref="L49:L50"/>
    <mergeCell ref="B54:D54"/>
  </mergeCells>
  <phoneticPr fontId="2" type="noConversion"/>
  <hyperlinks>
    <hyperlink ref="A1" location="CUPRINS!A1" display="CUPRINS" xr:uid="{1F867281-76A8-4513-B7F5-69CC6E067E2E}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2F93F-91F5-4D71-B356-C1F2F603251D}">
  <sheetPr codeName="Sheet9"/>
  <dimension ref="A1:S22"/>
  <sheetViews>
    <sheetView topLeftCell="H1" workbookViewId="0">
      <selection activeCell="Q24" sqref="Q24"/>
    </sheetView>
  </sheetViews>
  <sheetFormatPr defaultRowHeight="15" x14ac:dyDescent="0.25"/>
  <cols>
    <col min="2" max="2" width="25.85546875" customWidth="1"/>
    <col min="4" max="4" width="19.42578125" customWidth="1"/>
    <col min="5" max="5" width="15.28515625" customWidth="1"/>
    <col min="6" max="6" width="11.85546875" customWidth="1"/>
    <col min="7" max="7" width="16.42578125" customWidth="1"/>
    <col min="8" max="8" width="13.42578125" customWidth="1"/>
    <col min="9" max="9" width="12.85546875" customWidth="1"/>
    <col min="11" max="11" width="14.7109375" customWidth="1"/>
    <col min="12" max="12" width="12.28515625" customWidth="1"/>
    <col min="13" max="13" width="12.140625" customWidth="1"/>
    <col min="15" max="15" width="14" customWidth="1"/>
    <col min="17" max="17" width="17.28515625" customWidth="1"/>
    <col min="19" max="19" width="21.85546875" customWidth="1"/>
  </cols>
  <sheetData>
    <row r="1" spans="1:19" ht="15.75" thickBot="1" x14ac:dyDescent="0.3">
      <c r="A1" s="445" t="s">
        <v>199</v>
      </c>
    </row>
    <row r="2" spans="1:19" ht="15.75" thickBot="1" x14ac:dyDescent="0.3">
      <c r="B2" s="967" t="s">
        <v>227</v>
      </c>
      <c r="C2" s="968"/>
      <c r="D2" s="43"/>
      <c r="E2" s="101"/>
      <c r="F2" s="101"/>
    </row>
    <row r="3" spans="1:19" x14ac:dyDescent="0.25">
      <c r="B3" s="946" t="s">
        <v>28</v>
      </c>
      <c r="C3" s="948" t="s">
        <v>29</v>
      </c>
      <c r="D3" s="769" t="s">
        <v>418</v>
      </c>
      <c r="E3" s="122" t="s">
        <v>178</v>
      </c>
      <c r="F3" s="940" t="s">
        <v>39</v>
      </c>
      <c r="G3" s="126" t="s">
        <v>178</v>
      </c>
      <c r="H3" s="942" t="s">
        <v>39</v>
      </c>
      <c r="I3" s="130" t="s">
        <v>178</v>
      </c>
      <c r="J3" s="944" t="s">
        <v>39</v>
      </c>
      <c r="K3" s="132" t="s">
        <v>178</v>
      </c>
      <c r="L3" s="931" t="s">
        <v>39</v>
      </c>
      <c r="M3" s="134" t="s">
        <v>178</v>
      </c>
      <c r="N3" s="929" t="s">
        <v>39</v>
      </c>
      <c r="O3" s="136" t="s">
        <v>178</v>
      </c>
      <c r="P3" s="969" t="s">
        <v>39</v>
      </c>
      <c r="Q3" s="138" t="s">
        <v>178</v>
      </c>
      <c r="R3" s="933" t="s">
        <v>39</v>
      </c>
    </row>
    <row r="4" spans="1:19" ht="15.75" thickBot="1" x14ac:dyDescent="0.3">
      <c r="B4" s="947"/>
      <c r="C4" s="949"/>
      <c r="D4" s="788" t="s">
        <v>419</v>
      </c>
      <c r="E4" s="123" t="s">
        <v>179</v>
      </c>
      <c r="F4" s="941"/>
      <c r="G4" s="127" t="s">
        <v>179</v>
      </c>
      <c r="H4" s="943"/>
      <c r="I4" s="131" t="s">
        <v>179</v>
      </c>
      <c r="J4" s="945"/>
      <c r="K4" s="133" t="s">
        <v>179</v>
      </c>
      <c r="L4" s="932"/>
      <c r="M4" s="135" t="s">
        <v>179</v>
      </c>
      <c r="N4" s="930"/>
      <c r="O4" s="137" t="s">
        <v>179</v>
      </c>
      <c r="P4" s="970"/>
      <c r="Q4" s="139" t="s">
        <v>179</v>
      </c>
      <c r="R4" s="934"/>
      <c r="S4" s="43"/>
    </row>
    <row r="5" spans="1:19" ht="18" thickBot="1" x14ac:dyDescent="0.3">
      <c r="B5" s="256" t="s">
        <v>43</v>
      </c>
      <c r="C5" s="107" t="s">
        <v>85</v>
      </c>
      <c r="D5" s="830" cm="1">
        <f t="array" aca="1" ref="D5" ca="1">INDIRECT(ADDRESS(ROW(),MATCH(MAX(F5,H5,J5,L5,N5,P5,R5),E5:R5,0)-1+COLUMNS(A5:D5),4))</f>
        <v>49</v>
      </c>
      <c r="E5" s="257">
        <v>49</v>
      </c>
      <c r="F5" s="258">
        <v>44096</v>
      </c>
      <c r="G5" s="259"/>
      <c r="H5" s="260"/>
      <c r="I5" s="261"/>
      <c r="J5" s="262"/>
      <c r="K5" s="263"/>
      <c r="L5" s="264"/>
      <c r="M5" s="265"/>
      <c r="N5" s="266"/>
      <c r="O5" s="267"/>
      <c r="P5" s="268"/>
      <c r="Q5" s="95"/>
      <c r="R5" s="271"/>
      <c r="S5" s="43"/>
    </row>
    <row r="22" spans="3:7" x14ac:dyDescent="0.25">
      <c r="C22" s="997"/>
      <c r="D22" s="997"/>
      <c r="E22" s="997"/>
      <c r="F22" s="997"/>
      <c r="G22" s="997"/>
    </row>
  </sheetData>
  <mergeCells count="11">
    <mergeCell ref="C22:G22"/>
    <mergeCell ref="B2:C2"/>
    <mergeCell ref="B3:B4"/>
    <mergeCell ref="C3:C4"/>
    <mergeCell ref="F3:F4"/>
    <mergeCell ref="R3:R4"/>
    <mergeCell ref="H3:H4"/>
    <mergeCell ref="J3:J4"/>
    <mergeCell ref="L3:L4"/>
    <mergeCell ref="N3:N4"/>
    <mergeCell ref="P3:P4"/>
  </mergeCells>
  <hyperlinks>
    <hyperlink ref="A1" location="CUPRINS!A1" display="CUPRINS" xr:uid="{B7427785-ED48-4220-A7FD-4B7D9CF51A2E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746BD-01CE-472C-881B-25065A1CFAB7}">
  <sheetPr codeName="Sheet8"/>
  <dimension ref="A1:R13"/>
  <sheetViews>
    <sheetView workbookViewId="0"/>
  </sheetViews>
  <sheetFormatPr defaultRowHeight="15" x14ac:dyDescent="0.25"/>
  <cols>
    <col min="2" max="2" width="20" customWidth="1"/>
    <col min="4" max="4" width="20.5703125" customWidth="1"/>
    <col min="5" max="5" width="16.42578125" customWidth="1"/>
    <col min="6" max="6" width="10.7109375" bestFit="1" customWidth="1"/>
    <col min="7" max="7" width="14.7109375" customWidth="1"/>
    <col min="8" max="8" width="12" customWidth="1"/>
    <col min="9" max="9" width="16.5703125" customWidth="1"/>
    <col min="10" max="10" width="12.42578125" customWidth="1"/>
    <col min="11" max="11" width="17" customWidth="1"/>
    <col min="12" max="12" width="14.42578125" customWidth="1"/>
    <col min="13" max="13" width="16.85546875" customWidth="1"/>
    <col min="14" max="14" width="10.85546875" customWidth="1"/>
    <col min="15" max="15" width="14.140625" customWidth="1"/>
    <col min="16" max="16" width="11.42578125" customWidth="1"/>
    <col min="17" max="17" width="18.7109375" customWidth="1"/>
  </cols>
  <sheetData>
    <row r="1" spans="1:18" ht="15.75" thickBot="1" x14ac:dyDescent="0.3">
      <c r="A1" s="445" t="s">
        <v>199</v>
      </c>
    </row>
    <row r="2" spans="1:18" ht="16.5" thickBot="1" x14ac:dyDescent="0.3">
      <c r="B2" s="1002" t="s">
        <v>230</v>
      </c>
      <c r="C2" s="1003"/>
      <c r="D2" s="770"/>
      <c r="E2" s="101"/>
      <c r="F2" s="101"/>
    </row>
    <row r="3" spans="1:18" x14ac:dyDescent="0.25">
      <c r="B3" s="946" t="s">
        <v>28</v>
      </c>
      <c r="C3" s="948" t="s">
        <v>29</v>
      </c>
      <c r="D3" s="769" t="s">
        <v>418</v>
      </c>
      <c r="E3" s="122" t="s">
        <v>178</v>
      </c>
      <c r="F3" s="940" t="s">
        <v>39</v>
      </c>
      <c r="G3" s="126" t="s">
        <v>178</v>
      </c>
      <c r="H3" s="942" t="s">
        <v>39</v>
      </c>
      <c r="I3" s="130" t="s">
        <v>178</v>
      </c>
      <c r="J3" s="944" t="s">
        <v>39</v>
      </c>
      <c r="K3" s="132" t="s">
        <v>178</v>
      </c>
      <c r="L3" s="931" t="s">
        <v>39</v>
      </c>
      <c r="M3" s="134" t="s">
        <v>178</v>
      </c>
      <c r="N3" s="929" t="s">
        <v>39</v>
      </c>
      <c r="O3" s="136" t="s">
        <v>178</v>
      </c>
      <c r="P3" s="927" t="s">
        <v>39</v>
      </c>
      <c r="Q3" s="103" t="s">
        <v>178</v>
      </c>
      <c r="R3" s="933" t="s">
        <v>39</v>
      </c>
    </row>
    <row r="4" spans="1:18" ht="15.75" thickBot="1" x14ac:dyDescent="0.3">
      <c r="B4" s="954"/>
      <c r="C4" s="955"/>
      <c r="D4" s="788" t="s">
        <v>419</v>
      </c>
      <c r="E4" s="325" t="s">
        <v>179</v>
      </c>
      <c r="F4" s="1005"/>
      <c r="G4" s="313" t="s">
        <v>179</v>
      </c>
      <c r="H4" s="1006"/>
      <c r="I4" s="314" t="s">
        <v>179</v>
      </c>
      <c r="J4" s="998"/>
      <c r="K4" s="315" t="s">
        <v>179</v>
      </c>
      <c r="L4" s="999"/>
      <c r="M4" s="316" t="s">
        <v>179</v>
      </c>
      <c r="N4" s="1000"/>
      <c r="O4" s="317" t="s">
        <v>179</v>
      </c>
      <c r="P4" s="1001"/>
      <c r="Q4" s="690" t="s">
        <v>179</v>
      </c>
      <c r="R4" s="1004"/>
    </row>
    <row r="5" spans="1:18" x14ac:dyDescent="0.25">
      <c r="B5" s="48" t="s">
        <v>410</v>
      </c>
      <c r="C5" s="698" t="s">
        <v>4</v>
      </c>
      <c r="D5" s="375" cm="1">
        <f t="array" aca="1" ref="D5" ca="1">INDIRECT(ADDRESS(ROW(),MATCH(MAX(F5,H5,J5,L5,N5,P5,R5),E5:R5,0)-1+COLUMNS(A5:D5),4))</f>
        <v>4.9000000000000004</v>
      </c>
      <c r="E5" s="812">
        <v>4.8</v>
      </c>
      <c r="F5" s="196">
        <v>44936</v>
      </c>
      <c r="G5" s="541">
        <v>5.2</v>
      </c>
      <c r="H5" s="352">
        <v>45061</v>
      </c>
      <c r="I5" s="699">
        <v>4.9000000000000004</v>
      </c>
      <c r="J5" s="702">
        <v>45092</v>
      </c>
      <c r="K5" s="697"/>
      <c r="L5" s="538"/>
      <c r="M5" s="705"/>
      <c r="N5" s="709"/>
      <c r="O5" s="605"/>
      <c r="P5" s="542"/>
      <c r="Q5" s="831"/>
      <c r="R5" s="358"/>
    </row>
    <row r="6" spans="1:18" x14ac:dyDescent="0.25">
      <c r="B6" s="696" t="s">
        <v>104</v>
      </c>
      <c r="C6" s="349" t="s">
        <v>4</v>
      </c>
      <c r="D6" s="279" cm="1">
        <f t="array" aca="1" ref="D6" ca="1">INDIRECT(ADDRESS(ROW(),MATCH(MAX(F6,H6,J6,L6,N6,P6,R6),E6:R6,0)-1+COLUMNS(A6:D6),4))</f>
        <v>5.4</v>
      </c>
      <c r="E6" s="766">
        <v>8</v>
      </c>
      <c r="F6" s="156">
        <v>44421</v>
      </c>
      <c r="G6" s="351">
        <v>7.4</v>
      </c>
      <c r="H6" s="59">
        <v>44448</v>
      </c>
      <c r="I6" s="700">
        <v>5.91</v>
      </c>
      <c r="J6" s="703">
        <v>44606</v>
      </c>
      <c r="K6" s="708">
        <v>9</v>
      </c>
      <c r="L6" s="73">
        <v>44642</v>
      </c>
      <c r="M6" s="706">
        <v>7.2</v>
      </c>
      <c r="N6" s="710">
        <v>44697</v>
      </c>
      <c r="O6" s="578">
        <v>6</v>
      </c>
      <c r="P6" s="87">
        <v>44811</v>
      </c>
      <c r="Q6" s="93">
        <v>5.4</v>
      </c>
      <c r="R6" s="94">
        <v>44819</v>
      </c>
    </row>
    <row r="7" spans="1:18" ht="15.75" thickBot="1" x14ac:dyDescent="0.3">
      <c r="B7" s="24" t="s">
        <v>38</v>
      </c>
      <c r="C7" s="187" t="s">
        <v>4</v>
      </c>
      <c r="D7" s="757" cm="1">
        <f t="array" aca="1" ref="D7" ca="1">INDIRECT(ADDRESS(ROW(),MATCH(MAX(F7,H7,J7,L7,N7,P7,R7),E7:R7,0)-1+COLUMNS(A7:D7),4))</f>
        <v>4.75</v>
      </c>
      <c r="E7" s="768">
        <v>4.5</v>
      </c>
      <c r="F7" s="200">
        <v>44306</v>
      </c>
      <c r="G7" s="110">
        <v>7.82</v>
      </c>
      <c r="H7" s="489">
        <v>44697</v>
      </c>
      <c r="I7" s="701">
        <v>6</v>
      </c>
      <c r="J7" s="704">
        <v>44729</v>
      </c>
      <c r="K7" s="114">
        <v>4.75</v>
      </c>
      <c r="L7" s="491">
        <v>45106</v>
      </c>
      <c r="M7" s="894">
        <v>4.8</v>
      </c>
      <c r="N7" s="711">
        <v>45148</v>
      </c>
      <c r="O7" s="526">
        <v>4.75</v>
      </c>
      <c r="P7" s="493">
        <v>45156</v>
      </c>
      <c r="Q7" s="394"/>
      <c r="R7" s="363"/>
    </row>
    <row r="8" spans="1:18" ht="15.75" thickBot="1" x14ac:dyDescent="0.3"/>
    <row r="9" spans="1:18" ht="15.75" customHeight="1" thickBot="1" x14ac:dyDescent="0.3">
      <c r="B9" s="866"/>
      <c r="C9" s="867"/>
      <c r="D9" s="860" t="s">
        <v>432</v>
      </c>
      <c r="E9" s="861" t="s">
        <v>29</v>
      </c>
      <c r="F9" s="861" t="s">
        <v>426</v>
      </c>
      <c r="G9" s="861" t="s">
        <v>427</v>
      </c>
      <c r="H9" s="862" t="s">
        <v>428</v>
      </c>
      <c r="I9" s="863" t="s">
        <v>429</v>
      </c>
      <c r="J9" s="863" t="s">
        <v>430</v>
      </c>
      <c r="K9" s="449"/>
      <c r="L9" s="449"/>
      <c r="M9" s="449"/>
      <c r="N9" s="449"/>
      <c r="O9" s="449"/>
      <c r="P9" s="449"/>
      <c r="Q9" s="449"/>
      <c r="R9" s="449"/>
    </row>
    <row r="10" spans="1:18" ht="15" customHeight="1" thickBot="1" x14ac:dyDescent="0.3">
      <c r="B10" s="935" t="s">
        <v>424</v>
      </c>
      <c r="C10" s="936"/>
      <c r="D10" s="865" t="s">
        <v>480</v>
      </c>
      <c r="E10" s="695" t="s">
        <v>4</v>
      </c>
      <c r="F10" s="864"/>
      <c r="G10" s="859">
        <v>4.8</v>
      </c>
      <c r="H10" s="864">
        <f>G10*F10</f>
        <v>0</v>
      </c>
      <c r="I10" s="864"/>
      <c r="J10" s="864"/>
      <c r="K10" s="449"/>
      <c r="L10" s="449"/>
      <c r="M10" s="449"/>
      <c r="N10" s="449"/>
      <c r="O10" s="449"/>
      <c r="P10" s="449"/>
      <c r="Q10" s="449"/>
      <c r="R10" s="449"/>
    </row>
    <row r="11" spans="1:18" ht="15" customHeight="1" x14ac:dyDescent="0.25"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  <c r="R11" s="449"/>
    </row>
    <row r="12" spans="1:18" ht="15" customHeight="1" x14ac:dyDescent="0.25">
      <c r="B12" s="893"/>
      <c r="C12" s="449"/>
      <c r="D12" s="449"/>
      <c r="E12" s="449"/>
      <c r="F12" s="449"/>
      <c r="G12" s="449"/>
      <c r="H12" s="449"/>
      <c r="I12" s="449"/>
      <c r="J12" s="449"/>
      <c r="K12" s="449"/>
      <c r="L12" s="449"/>
      <c r="M12" s="449"/>
      <c r="N12" s="449"/>
      <c r="O12" s="449"/>
      <c r="P12" s="449"/>
      <c r="Q12" s="449"/>
      <c r="R12" s="449"/>
    </row>
    <row r="13" spans="1:18" ht="15" customHeight="1" x14ac:dyDescent="0.25">
      <c r="B13" s="449"/>
      <c r="C13" s="449"/>
      <c r="D13" s="449"/>
      <c r="E13" s="449"/>
      <c r="F13" s="449"/>
      <c r="G13" s="449"/>
      <c r="H13" s="449"/>
      <c r="I13" s="449"/>
      <c r="J13" s="449"/>
      <c r="K13" s="449"/>
      <c r="L13" s="449"/>
      <c r="M13" s="449"/>
      <c r="N13" s="449"/>
      <c r="O13" s="449"/>
      <c r="P13" s="449"/>
      <c r="Q13" s="449"/>
      <c r="R13" s="449"/>
    </row>
  </sheetData>
  <mergeCells count="11">
    <mergeCell ref="B2:C2"/>
    <mergeCell ref="R3:R4"/>
    <mergeCell ref="B3:B4"/>
    <mergeCell ref="C3:C4"/>
    <mergeCell ref="F3:F4"/>
    <mergeCell ref="H3:H4"/>
    <mergeCell ref="B10:C10"/>
    <mergeCell ref="J3:J4"/>
    <mergeCell ref="L3:L4"/>
    <mergeCell ref="N3:N4"/>
    <mergeCell ref="P3:P4"/>
  </mergeCells>
  <hyperlinks>
    <hyperlink ref="A1" location="CUPRINS!A1" display="CUPRINS" xr:uid="{4E58FDCC-68A9-4AF5-B46C-ED161DABA9EB}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66B43-9EF4-451A-8FA5-AFC63E9168CA}">
  <sheetPr codeName="Sheet16"/>
  <dimension ref="A1:R8"/>
  <sheetViews>
    <sheetView workbookViewId="0"/>
  </sheetViews>
  <sheetFormatPr defaultRowHeight="15" x14ac:dyDescent="0.25"/>
  <cols>
    <col min="2" max="2" width="33.140625" customWidth="1"/>
    <col min="3" max="3" width="7.5703125" customWidth="1"/>
    <col min="4" max="4" width="20" customWidth="1"/>
    <col min="5" max="5" width="15.7109375" customWidth="1"/>
    <col min="6" max="6" width="10.7109375" customWidth="1"/>
    <col min="7" max="7" width="14.42578125" customWidth="1"/>
    <col min="8" max="8" width="10.140625" bestFit="1" customWidth="1"/>
    <col min="9" max="9" width="18.85546875" customWidth="1"/>
    <col min="11" max="11" width="17.28515625" customWidth="1"/>
    <col min="13" max="13" width="17" customWidth="1"/>
    <col min="15" max="15" width="18.7109375" customWidth="1"/>
    <col min="17" max="17" width="17" customWidth="1"/>
  </cols>
  <sheetData>
    <row r="1" spans="1:18" ht="15.75" thickBot="1" x14ac:dyDescent="0.3">
      <c r="A1" s="445" t="s">
        <v>199</v>
      </c>
    </row>
    <row r="2" spans="1:18" ht="15.75" thickBot="1" x14ac:dyDescent="0.3">
      <c r="B2" s="967" t="s">
        <v>231</v>
      </c>
      <c r="C2" s="968"/>
      <c r="D2" s="43"/>
      <c r="E2" s="101"/>
      <c r="F2" s="101"/>
    </row>
    <row r="3" spans="1:18" x14ac:dyDescent="0.25">
      <c r="B3" s="946" t="s">
        <v>28</v>
      </c>
      <c r="C3" s="948" t="s">
        <v>29</v>
      </c>
      <c r="D3" s="769" t="s">
        <v>418</v>
      </c>
      <c r="E3" s="122" t="s">
        <v>178</v>
      </c>
      <c r="F3" s="940" t="s">
        <v>39</v>
      </c>
      <c r="G3" s="126" t="s">
        <v>178</v>
      </c>
      <c r="H3" s="942" t="s">
        <v>39</v>
      </c>
      <c r="I3" s="130" t="s">
        <v>178</v>
      </c>
      <c r="J3" s="944" t="s">
        <v>39</v>
      </c>
      <c r="K3" s="132" t="s">
        <v>178</v>
      </c>
      <c r="L3" s="931" t="s">
        <v>39</v>
      </c>
      <c r="M3" s="134" t="s">
        <v>178</v>
      </c>
      <c r="N3" s="929" t="s">
        <v>39</v>
      </c>
      <c r="O3" s="136" t="s">
        <v>178</v>
      </c>
      <c r="P3" s="927" t="s">
        <v>39</v>
      </c>
      <c r="Q3" s="103" t="s">
        <v>178</v>
      </c>
      <c r="R3" s="933" t="s">
        <v>39</v>
      </c>
    </row>
    <row r="4" spans="1:18" ht="15.75" thickBot="1" x14ac:dyDescent="0.3">
      <c r="B4" s="947"/>
      <c r="C4" s="949"/>
      <c r="D4" s="788" t="s">
        <v>419</v>
      </c>
      <c r="E4" s="123" t="s">
        <v>179</v>
      </c>
      <c r="F4" s="941"/>
      <c r="G4" s="127" t="s">
        <v>179</v>
      </c>
      <c r="H4" s="943"/>
      <c r="I4" s="131" t="s">
        <v>179</v>
      </c>
      <c r="J4" s="945"/>
      <c r="K4" s="133" t="s">
        <v>179</v>
      </c>
      <c r="L4" s="932"/>
      <c r="M4" s="135" t="s">
        <v>179</v>
      </c>
      <c r="N4" s="930"/>
      <c r="O4" s="137" t="s">
        <v>179</v>
      </c>
      <c r="P4" s="928"/>
      <c r="Q4" s="104" t="s">
        <v>179</v>
      </c>
      <c r="R4" s="934"/>
    </row>
    <row r="5" spans="1:18" x14ac:dyDescent="0.25">
      <c r="B5" s="48" t="s">
        <v>296</v>
      </c>
      <c r="C5" s="346" t="s">
        <v>4</v>
      </c>
      <c r="D5" s="375" cm="1">
        <f t="array" aca="1" ref="D5" ca="1">INDIRECT(ADDRESS(ROW(),MATCH(MAX(F5,H5,J5,L5,N5,P5,R5),E5:R5,0)-1+COLUMNS(A5:D5),4))</f>
        <v>6.1</v>
      </c>
      <c r="E5" s="779">
        <v>5.5</v>
      </c>
      <c r="F5" s="532">
        <v>44183</v>
      </c>
      <c r="G5" s="175">
        <v>6.1</v>
      </c>
      <c r="H5" s="352">
        <v>44552</v>
      </c>
      <c r="I5" s="535"/>
      <c r="J5" s="753"/>
      <c r="K5" s="179"/>
      <c r="L5" s="180"/>
      <c r="M5" s="754"/>
      <c r="N5" s="756"/>
      <c r="O5" s="183"/>
      <c r="P5" s="184"/>
      <c r="Q5" s="185"/>
      <c r="R5" s="186"/>
    </row>
    <row r="6" spans="1:18" x14ac:dyDescent="0.25">
      <c r="B6" s="12" t="s">
        <v>150</v>
      </c>
      <c r="C6" s="414" t="s">
        <v>4</v>
      </c>
      <c r="D6" s="279" cm="1">
        <f t="array" aca="1" ref="D6" ca="1">INDIRECT(ADDRESS(ROW(),MATCH(MAX(F6,H6,J6,L6,N6,P6,R6),E6:R6,0)-1+COLUMNS(A6:D6),4))</f>
        <v>5.22</v>
      </c>
      <c r="E6" s="773">
        <v>5.22</v>
      </c>
      <c r="F6" s="533">
        <v>44281</v>
      </c>
      <c r="G6" s="58"/>
      <c r="H6" s="59"/>
      <c r="I6" s="536"/>
      <c r="J6" s="703"/>
      <c r="K6" s="72"/>
      <c r="L6" s="73"/>
      <c r="M6" s="755"/>
      <c r="N6" s="710"/>
      <c r="O6" s="86"/>
      <c r="P6" s="87"/>
      <c r="Q6" s="93"/>
      <c r="R6" s="94"/>
    </row>
    <row r="7" spans="1:18" x14ac:dyDescent="0.25">
      <c r="B7" s="12" t="s">
        <v>288</v>
      </c>
      <c r="C7" s="414" t="s">
        <v>4</v>
      </c>
      <c r="D7" s="825" cm="1">
        <f t="array" aca="1" ref="D7" ca="1">INDIRECT(ADDRESS(ROW(),MATCH(MAX(F7,H7,J7,L7,N7,P7,R7),E7:R7,0)-1+COLUMNS(A7:D7),4))</f>
        <v>6.61</v>
      </c>
      <c r="E7" s="773">
        <v>6.61</v>
      </c>
      <c r="F7" s="533">
        <v>44512</v>
      </c>
      <c r="G7" s="58"/>
      <c r="H7" s="59"/>
      <c r="I7" s="536"/>
      <c r="J7" s="703"/>
      <c r="K7" s="72"/>
      <c r="L7" s="73"/>
      <c r="M7" s="755"/>
      <c r="N7" s="710"/>
      <c r="O7" s="86"/>
      <c r="P7" s="87"/>
      <c r="Q7" s="93"/>
      <c r="R7" s="94"/>
    </row>
    <row r="8" spans="1:18" ht="15.75" thickBot="1" x14ac:dyDescent="0.3">
      <c r="B8" s="19" t="s">
        <v>282</v>
      </c>
      <c r="C8" s="712" t="s">
        <v>4</v>
      </c>
      <c r="D8" s="757" cm="1">
        <f t="array" aca="1" ref="D8" ca="1">INDIRECT(ADDRESS(ROW(),MATCH(MAX(F8,H8,J8,L8,N8,P8,R8),E8:R8,0)-1+COLUMNS(A8:D8),4))</f>
        <v>6.68</v>
      </c>
      <c r="E8" s="781">
        <v>6.68</v>
      </c>
      <c r="F8" s="534">
        <v>44503</v>
      </c>
      <c r="G8" s="524"/>
      <c r="H8" s="489"/>
      <c r="I8" s="537"/>
      <c r="J8" s="704"/>
      <c r="K8" s="525"/>
      <c r="L8" s="491"/>
      <c r="M8" s="707"/>
      <c r="N8" s="711"/>
      <c r="O8" s="526"/>
      <c r="P8" s="493"/>
      <c r="Q8" s="394"/>
      <c r="R8" s="363"/>
    </row>
  </sheetData>
  <mergeCells count="10">
    <mergeCell ref="B2:C2"/>
    <mergeCell ref="B3:B4"/>
    <mergeCell ref="C3:C4"/>
    <mergeCell ref="F3:F4"/>
    <mergeCell ref="R3:R4"/>
    <mergeCell ref="H3:H4"/>
    <mergeCell ref="J3:J4"/>
    <mergeCell ref="L3:L4"/>
    <mergeCell ref="N3:N4"/>
    <mergeCell ref="P3:P4"/>
  </mergeCells>
  <hyperlinks>
    <hyperlink ref="A1" location="CUPRINS!A1" display="CUPRINS" xr:uid="{22BF7A8F-E257-474D-99DA-04A2ECFEAFFA}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B3DFC-CD5C-4F9E-BD29-0C9A3B9E207C}">
  <sheetPr codeName="Sheet1"/>
  <dimension ref="A1:T77"/>
  <sheetViews>
    <sheetView zoomScaleNormal="100" workbookViewId="0">
      <selection activeCell="B1" sqref="B1"/>
    </sheetView>
  </sheetViews>
  <sheetFormatPr defaultRowHeight="15" x14ac:dyDescent="0.25"/>
  <cols>
    <col min="1" max="1" width="15.5703125" customWidth="1"/>
    <col min="2" max="2" width="19.7109375" customWidth="1"/>
    <col min="3" max="3" width="4.7109375" customWidth="1"/>
    <col min="4" max="4" width="15.140625" customWidth="1"/>
    <col min="5" max="5" width="19.5703125" customWidth="1"/>
    <col min="6" max="6" width="18" customWidth="1"/>
    <col min="7" max="7" width="13.28515625" customWidth="1"/>
    <col min="8" max="9" width="14.140625" customWidth="1"/>
    <col min="10" max="10" width="14.7109375" customWidth="1"/>
    <col min="11" max="11" width="11.7109375" customWidth="1"/>
    <col min="12" max="12" width="16.5703125" customWidth="1"/>
    <col min="13" max="13" width="14.42578125" customWidth="1"/>
    <col min="14" max="14" width="17" customWidth="1"/>
    <col min="15" max="15" width="11.85546875" customWidth="1"/>
    <col min="16" max="16" width="18.85546875" customWidth="1"/>
    <col min="17" max="17" width="12.42578125" customWidth="1"/>
    <col min="18" max="18" width="15" customWidth="1"/>
    <col min="19" max="19" width="11.85546875" customWidth="1"/>
    <col min="20" max="20" width="20.140625" customWidth="1"/>
  </cols>
  <sheetData>
    <row r="1" spans="1:20" ht="15.75" thickBot="1" x14ac:dyDescent="0.3">
      <c r="B1" s="445" t="s">
        <v>199</v>
      </c>
    </row>
    <row r="2" spans="1:20" ht="15.75" thickBot="1" x14ac:dyDescent="0.3">
      <c r="B2" s="967" t="s">
        <v>232</v>
      </c>
      <c r="C2" s="980"/>
      <c r="D2" s="968"/>
      <c r="E2" s="43"/>
      <c r="F2" s="101"/>
      <c r="G2" s="101"/>
    </row>
    <row r="3" spans="1:20" x14ac:dyDescent="0.25">
      <c r="B3" s="946" t="s">
        <v>28</v>
      </c>
      <c r="C3" s="948" t="s">
        <v>29</v>
      </c>
      <c r="D3" s="105" t="s">
        <v>176</v>
      </c>
      <c r="E3" s="105" t="s">
        <v>418</v>
      </c>
      <c r="F3" s="592" t="s">
        <v>178</v>
      </c>
      <c r="G3" s="950" t="s">
        <v>39</v>
      </c>
      <c r="H3" s="594" t="s">
        <v>178</v>
      </c>
      <c r="I3" s="942" t="s">
        <v>39</v>
      </c>
      <c r="J3" s="596" t="s">
        <v>178</v>
      </c>
      <c r="K3" s="944" t="s">
        <v>39</v>
      </c>
      <c r="L3" s="598" t="s">
        <v>178</v>
      </c>
      <c r="M3" s="931" t="s">
        <v>39</v>
      </c>
      <c r="N3" s="600" t="s">
        <v>178</v>
      </c>
      <c r="O3" s="929" t="s">
        <v>39</v>
      </c>
      <c r="P3" s="602" t="s">
        <v>178</v>
      </c>
      <c r="Q3" s="927" t="s">
        <v>39</v>
      </c>
      <c r="R3" s="103" t="s">
        <v>178</v>
      </c>
      <c r="S3" s="933" t="s">
        <v>39</v>
      </c>
    </row>
    <row r="4" spans="1:20" ht="15.75" thickBot="1" x14ac:dyDescent="0.3">
      <c r="B4" s="947"/>
      <c r="C4" s="949"/>
      <c r="D4" s="52" t="s">
        <v>175</v>
      </c>
      <c r="E4" s="150" t="s">
        <v>419</v>
      </c>
      <c r="F4" s="593" t="s">
        <v>179</v>
      </c>
      <c r="G4" s="951"/>
      <c r="H4" s="595" t="s">
        <v>179</v>
      </c>
      <c r="I4" s="943"/>
      <c r="J4" s="597" t="s">
        <v>179</v>
      </c>
      <c r="K4" s="945"/>
      <c r="L4" s="599" t="s">
        <v>179</v>
      </c>
      <c r="M4" s="932"/>
      <c r="N4" s="601" t="s">
        <v>179</v>
      </c>
      <c r="O4" s="930"/>
      <c r="P4" s="603" t="s">
        <v>179</v>
      </c>
      <c r="Q4" s="928"/>
      <c r="R4" s="104" t="s">
        <v>179</v>
      </c>
      <c r="S4" s="934"/>
      <c r="T4" s="43"/>
    </row>
    <row r="5" spans="1:20" x14ac:dyDescent="0.25">
      <c r="B5" s="48" t="s">
        <v>434</v>
      </c>
      <c r="C5" s="49" t="s">
        <v>0</v>
      </c>
      <c r="D5" s="291">
        <v>31.626000000000001</v>
      </c>
      <c r="E5" s="375" cm="1">
        <f t="array" aca="1" ref="E5" ca="1">INDIRECT(ADDRESS(ROW(),MATCH(MAX(G5,I5,K5,M5,O5,Q5,S5),F5:S5,0)-1+COLUMNS(A5:E5),4))</f>
        <v>221.06850000000003</v>
      </c>
      <c r="F5" s="762">
        <f>54*Euro!B3</f>
        <v>271.62</v>
      </c>
      <c r="G5" s="758">
        <v>44358</v>
      </c>
      <c r="H5" s="202">
        <f>53.5*Euro!B3</f>
        <v>269.10500000000002</v>
      </c>
      <c r="I5" s="201">
        <v>44379</v>
      </c>
      <c r="J5" s="203">
        <f>89.6*4.95</f>
        <v>443.52</v>
      </c>
      <c r="K5" s="204">
        <v>44719</v>
      </c>
      <c r="L5" s="205">
        <v>384</v>
      </c>
      <c r="M5" s="206">
        <v>44936</v>
      </c>
      <c r="N5" s="207">
        <f>43.95*Euro!B3</f>
        <v>221.06850000000003</v>
      </c>
      <c r="O5" s="208">
        <v>45061</v>
      </c>
      <c r="P5" s="209"/>
      <c r="Q5" s="210"/>
      <c r="R5" s="211"/>
      <c r="S5" s="212"/>
      <c r="T5" s="43"/>
    </row>
    <row r="6" spans="1:20" ht="15.75" customHeight="1" x14ac:dyDescent="0.25">
      <c r="B6" s="41" t="s">
        <v>1</v>
      </c>
      <c r="C6" s="8" t="s">
        <v>0</v>
      </c>
      <c r="D6" s="349">
        <v>34.033000000000001</v>
      </c>
      <c r="E6" s="733" cm="1">
        <f t="array" aca="1" ref="E6" ca="1">INDIRECT(ADDRESS(ROW(),MATCH(MAX(G6,I6,K6,M6,O6,Q6,S6),F6:S6,0)-1+COLUMNS(A6:E6),4))</f>
        <v>241.44</v>
      </c>
      <c r="F6" s="763">
        <f>48*Euro!B3</f>
        <v>241.44</v>
      </c>
      <c r="G6" s="759">
        <v>44358</v>
      </c>
      <c r="H6" s="213"/>
      <c r="I6" s="214"/>
      <c r="J6" s="215"/>
      <c r="K6" s="216"/>
      <c r="L6" s="217"/>
      <c r="M6" s="218"/>
      <c r="N6" s="219"/>
      <c r="O6" s="220"/>
      <c r="P6" s="221"/>
      <c r="Q6" s="222"/>
      <c r="R6" s="223"/>
      <c r="S6" s="224"/>
      <c r="T6" s="199"/>
    </row>
    <row r="7" spans="1:20" x14ac:dyDescent="0.25">
      <c r="B7" s="41" t="s">
        <v>220</v>
      </c>
      <c r="C7" s="8" t="s">
        <v>0</v>
      </c>
      <c r="D7" s="349">
        <v>33.54</v>
      </c>
      <c r="E7" s="279" cm="1">
        <f t="array" aca="1" ref="E7" ca="1">INDIRECT(ADDRESS(ROW(),MATCH(MAX(G7,I7,K7,M7,O7,Q7,S7),F7:S7,0)-1+COLUMNS(A7:E7),4))</f>
        <v>234.39800000000002</v>
      </c>
      <c r="F7" s="763">
        <v>328.69</v>
      </c>
      <c r="G7" s="225">
        <v>44419</v>
      </c>
      <c r="H7" s="446" t="s">
        <v>303</v>
      </c>
      <c r="I7" s="227">
        <v>44587</v>
      </c>
      <c r="J7" s="547" t="s">
        <v>467</v>
      </c>
      <c r="K7" s="229">
        <v>44606</v>
      </c>
      <c r="L7" s="230">
        <v>512.721</v>
      </c>
      <c r="M7" s="231">
        <v>44719</v>
      </c>
      <c r="N7" s="621" t="s">
        <v>468</v>
      </c>
      <c r="O7" s="233">
        <v>44813</v>
      </c>
      <c r="P7" s="221">
        <v>331</v>
      </c>
      <c r="Q7" s="235">
        <v>44936</v>
      </c>
      <c r="R7" s="885">
        <f>46.6*Euro!B3</f>
        <v>234.39800000000002</v>
      </c>
      <c r="S7" s="237">
        <v>45061</v>
      </c>
    </row>
    <row r="8" spans="1:20" x14ac:dyDescent="0.25">
      <c r="B8" s="41" t="s">
        <v>198</v>
      </c>
      <c r="C8" s="8" t="s">
        <v>0</v>
      </c>
      <c r="D8" s="349">
        <v>27.225999999999999</v>
      </c>
      <c r="E8" s="279" cm="1">
        <f t="array" aca="1" ref="E8" ca="1">INDIRECT(ADDRESS(ROW(),MATCH(MAX(G8,I8,K8,M8,O8,Q8,S8),F8:S8,0)-1+COLUMNS(A8:E8),4))</f>
        <v>8.5</v>
      </c>
      <c r="F8" s="763">
        <v>8.5</v>
      </c>
      <c r="G8" s="225">
        <v>44377</v>
      </c>
      <c r="H8" s="226"/>
      <c r="I8" s="227"/>
      <c r="J8" s="228"/>
      <c r="K8" s="229"/>
      <c r="L8" s="230"/>
      <c r="M8" s="231"/>
      <c r="N8" s="232"/>
      <c r="O8" s="233"/>
      <c r="P8" s="234"/>
      <c r="Q8" s="235"/>
      <c r="R8" s="236"/>
      <c r="S8" s="237"/>
    </row>
    <row r="9" spans="1:20" x14ac:dyDescent="0.25">
      <c r="B9" s="41" t="s">
        <v>173</v>
      </c>
      <c r="C9" s="8" t="s">
        <v>0</v>
      </c>
      <c r="D9" s="349">
        <v>27.222999999999999</v>
      </c>
      <c r="E9" s="279" cm="1">
        <f t="array" aca="1" ref="E9" ca="1">INDIRECT(ADDRESS(ROW(),MATCH(MAX(G9,I9,K9,M9,O9,Q9,S9),F9:S9,0)-1+COLUMNS(A9:E9),4))</f>
        <v>233.33</v>
      </c>
      <c r="F9" s="763">
        <f>233.33</f>
        <v>233.33</v>
      </c>
      <c r="G9" s="225">
        <v>44377</v>
      </c>
      <c r="H9" s="213"/>
      <c r="I9" s="227"/>
      <c r="J9" s="215"/>
      <c r="K9" s="229"/>
      <c r="L9" s="217"/>
      <c r="M9" s="231"/>
      <c r="N9" s="219"/>
      <c r="O9" s="886"/>
      <c r="P9" s="221"/>
      <c r="Q9" s="235"/>
      <c r="R9" s="223"/>
      <c r="S9" s="237"/>
    </row>
    <row r="10" spans="1:20" x14ac:dyDescent="0.25">
      <c r="A10" t="s">
        <v>470</v>
      </c>
      <c r="B10" s="41" t="s">
        <v>471</v>
      </c>
      <c r="C10" s="8" t="s">
        <v>0</v>
      </c>
      <c r="D10" s="349">
        <v>28.853999999999999</v>
      </c>
      <c r="E10" s="279">
        <f>65*Euro!B3</f>
        <v>326.95</v>
      </c>
      <c r="F10" s="889">
        <f>65*Euro!B3</f>
        <v>326.95</v>
      </c>
      <c r="G10" s="225">
        <v>45063</v>
      </c>
      <c r="H10" s="213"/>
      <c r="I10" s="227"/>
      <c r="J10" s="215"/>
      <c r="K10" s="229"/>
      <c r="L10" s="217"/>
      <c r="M10" s="231"/>
      <c r="N10" s="888"/>
      <c r="O10" s="886"/>
      <c r="P10" s="221"/>
      <c r="Q10" s="235"/>
      <c r="R10" s="223"/>
      <c r="S10" s="237"/>
    </row>
    <row r="11" spans="1:20" x14ac:dyDescent="0.25">
      <c r="B11" s="41" t="s">
        <v>469</v>
      </c>
      <c r="C11" s="8" t="s">
        <v>0</v>
      </c>
      <c r="D11" s="349">
        <v>23.478000000000002</v>
      </c>
      <c r="E11" s="279" cm="1">
        <f t="array" aca="1" ref="E11" ca="1">INDIRECT(ADDRESS(ROW(),MATCH(MAX(G11,I11,K11,M11,O11,Q11,S11),F11:S11,0)-1+COLUMNS(A11:E11),4))</f>
        <v>175.04399999999998</v>
      </c>
      <c r="F11" s="763">
        <f>40*Euro!B3</f>
        <v>201.20000000000002</v>
      </c>
      <c r="G11" s="225">
        <v>44358</v>
      </c>
      <c r="H11" s="213">
        <f>40*Euro!B3</f>
        <v>201.20000000000002</v>
      </c>
      <c r="I11" s="227">
        <v>44379</v>
      </c>
      <c r="J11" s="547" t="str">
        <f>ROUND(D11*2.7*Euro!B3,2) &amp; " (2.7 €/kg)"</f>
        <v>318.85 (2.7 €/kg)</v>
      </c>
      <c r="K11" s="229">
        <v>44813</v>
      </c>
      <c r="L11" s="217">
        <v>250</v>
      </c>
      <c r="M11" s="231">
        <v>44936</v>
      </c>
      <c r="N11" s="207">
        <f>34.8*Euro!B3</f>
        <v>175.04399999999998</v>
      </c>
      <c r="O11" s="233">
        <v>45061</v>
      </c>
      <c r="P11" s="221"/>
      <c r="Q11" s="235"/>
      <c r="R11" s="223"/>
      <c r="S11" s="237"/>
    </row>
    <row r="12" spans="1:20" x14ac:dyDescent="0.25">
      <c r="B12" s="41" t="s">
        <v>366</v>
      </c>
      <c r="C12" s="8" t="s">
        <v>0</v>
      </c>
      <c r="D12" s="349">
        <v>13.441000000000001</v>
      </c>
      <c r="E12" s="279" cm="1">
        <f t="array" aca="1" ref="E12" ca="1">INDIRECT(ADDRESS(ROW(),MATCH(MAX(G12,I12,K12,M12,O12,Q12,S12),F12:S12,0)-1+COLUMNS(A12:E12),4))</f>
        <v>72</v>
      </c>
      <c r="F12" s="763">
        <v>72</v>
      </c>
      <c r="G12" s="225">
        <v>44736</v>
      </c>
      <c r="H12" s="213"/>
      <c r="I12" s="227"/>
      <c r="J12" s="215"/>
      <c r="K12" s="229"/>
      <c r="L12" s="217"/>
      <c r="M12" s="231"/>
      <c r="N12" s="219"/>
      <c r="O12" s="233"/>
      <c r="P12" s="221"/>
      <c r="Q12" s="235"/>
      <c r="R12" s="223"/>
      <c r="S12" s="237"/>
    </row>
    <row r="13" spans="1:20" x14ac:dyDescent="0.25">
      <c r="B13" s="41" t="s">
        <v>403</v>
      </c>
      <c r="C13" s="8" t="s">
        <v>0</v>
      </c>
      <c r="D13" s="349">
        <v>8.375</v>
      </c>
      <c r="E13" s="279" cm="1">
        <f t="array" aca="1" ref="E13" ca="1">INDIRECT(ADDRESS(ROW(),MATCH(MAX(G13,I13,K13,M13,O13,Q13,S13),F13:S13,0)-1+COLUMNS(A13:E13),4))</f>
        <v>39</v>
      </c>
      <c r="F13" s="763">
        <v>39</v>
      </c>
      <c r="G13" s="225">
        <v>44865</v>
      </c>
      <c r="H13" s="213"/>
      <c r="I13" s="227"/>
      <c r="J13" s="215"/>
      <c r="K13" s="229"/>
      <c r="L13" s="217"/>
      <c r="M13" s="231"/>
      <c r="N13" s="219"/>
      <c r="O13" s="233"/>
      <c r="P13" s="221"/>
      <c r="Q13" s="235"/>
      <c r="R13" s="223"/>
      <c r="S13" s="237"/>
    </row>
    <row r="14" spans="1:20" x14ac:dyDescent="0.25">
      <c r="B14" s="41" t="s">
        <v>110</v>
      </c>
      <c r="C14" s="8" t="s">
        <v>0</v>
      </c>
      <c r="D14" s="349">
        <f>7.57</f>
        <v>7.57</v>
      </c>
      <c r="E14" s="279" cm="1">
        <f t="array" aca="1" ref="E14" ca="1">INDIRECT(ADDRESS(ROW(),MATCH(MAX(G14,I14,K14,M14,O14,Q14,S14),F14:S14,0)-1+COLUMNS(A14:E14),4))</f>
        <v>32</v>
      </c>
      <c r="F14" s="763">
        <f>32</f>
        <v>32</v>
      </c>
      <c r="G14" s="225">
        <v>44208</v>
      </c>
      <c r="H14" s="213"/>
      <c r="I14" s="227"/>
      <c r="J14" s="215"/>
      <c r="K14" s="229"/>
      <c r="L14" s="217"/>
      <c r="M14" s="231"/>
      <c r="N14" s="219"/>
      <c r="O14" s="233"/>
      <c r="P14" s="221"/>
      <c r="Q14" s="235"/>
      <c r="R14" s="223"/>
      <c r="S14" s="237"/>
    </row>
    <row r="15" spans="1:20" x14ac:dyDescent="0.25">
      <c r="B15" s="41" t="s">
        <v>400</v>
      </c>
      <c r="C15" s="8" t="s">
        <v>0</v>
      </c>
      <c r="D15" s="349">
        <v>6.7629999999999999</v>
      </c>
      <c r="E15" s="279" cm="1">
        <f t="array" aca="1" ref="E15" ca="1">INDIRECT(ADDRESS(ROW(),MATCH(MAX(G15,I15,K15,M15,O15,Q15,S15),F15:S15,0)-1+COLUMNS(A15:E15),4))</f>
        <v>32</v>
      </c>
      <c r="F15" s="763">
        <v>32</v>
      </c>
      <c r="G15" s="225">
        <v>44831</v>
      </c>
      <c r="H15" s="213"/>
      <c r="I15" s="227"/>
      <c r="J15" s="215"/>
      <c r="K15" s="229"/>
      <c r="L15" s="217"/>
      <c r="M15" s="231"/>
      <c r="N15" s="219"/>
      <c r="O15" s="233"/>
      <c r="P15" s="221"/>
      <c r="Q15" s="235"/>
      <c r="R15" s="223"/>
      <c r="S15" s="237"/>
    </row>
    <row r="16" spans="1:20" x14ac:dyDescent="0.25">
      <c r="B16" s="41" t="s">
        <v>402</v>
      </c>
      <c r="C16" s="8" t="s">
        <v>0</v>
      </c>
      <c r="D16" s="349">
        <v>6.4279999999999999</v>
      </c>
      <c r="E16" s="279" cm="1">
        <f t="array" aca="1" ref="E16" ca="1">INDIRECT(ADDRESS(ROW(),MATCH(MAX(G16,I16,K16,M16,O16,Q16,S16),F16:S16,0)-1+COLUMNS(A16:E16),4))</f>
        <v>30</v>
      </c>
      <c r="F16" s="763">
        <v>30</v>
      </c>
      <c r="G16" s="225">
        <v>44865</v>
      </c>
      <c r="H16" s="213"/>
      <c r="I16" s="227"/>
      <c r="J16" s="215"/>
      <c r="K16" s="229"/>
      <c r="L16" s="217"/>
      <c r="M16" s="231"/>
      <c r="N16" s="219"/>
      <c r="O16" s="233"/>
      <c r="P16" s="221"/>
      <c r="Q16" s="235"/>
      <c r="R16" s="223"/>
      <c r="S16" s="237"/>
    </row>
    <row r="17" spans="2:19" x14ac:dyDescent="0.25">
      <c r="B17" s="41" t="s">
        <v>401</v>
      </c>
      <c r="C17" s="8" t="s">
        <v>0</v>
      </c>
      <c r="D17" s="349">
        <v>5.7530000000000001</v>
      </c>
      <c r="E17" s="279" cm="1">
        <f t="array" aca="1" ref="E17" ca="1">INDIRECT(ADDRESS(ROW(),MATCH(MAX(G17,I17,K17,M17,O17,Q17,S17),F17:S17,0)-1+COLUMNS(A17:E17),4))</f>
        <v>27</v>
      </c>
      <c r="F17" s="763">
        <v>27</v>
      </c>
      <c r="G17" s="225">
        <v>44831</v>
      </c>
      <c r="H17" s="213"/>
      <c r="I17" s="227"/>
      <c r="J17" s="215"/>
      <c r="K17" s="229"/>
      <c r="L17" s="217"/>
      <c r="M17" s="231"/>
      <c r="N17" s="219"/>
      <c r="O17" s="233"/>
      <c r="P17" s="221"/>
      <c r="Q17" s="235"/>
      <c r="R17" s="223"/>
      <c r="S17" s="237"/>
    </row>
    <row r="18" spans="2:19" x14ac:dyDescent="0.25">
      <c r="B18" s="41" t="s">
        <v>111</v>
      </c>
      <c r="C18" s="8" t="s">
        <v>0</v>
      </c>
      <c r="D18" s="349">
        <f>5.408</f>
        <v>5.4080000000000004</v>
      </c>
      <c r="E18" s="279" cm="1">
        <f t="array" aca="1" ref="E18" ca="1">INDIRECT(ADDRESS(ROW(),MATCH(MAX(G18,I18,K18,M18,O18,Q18,S18),F18:S18,0)-1+COLUMNS(A18:E18),4))</f>
        <v>18.7</v>
      </c>
      <c r="F18" s="763">
        <v>18.7</v>
      </c>
      <c r="G18" s="225">
        <v>44208</v>
      </c>
      <c r="H18" s="213"/>
      <c r="I18" s="227"/>
      <c r="J18" s="215"/>
      <c r="K18" s="229"/>
      <c r="L18" s="217"/>
      <c r="M18" s="231"/>
      <c r="N18" s="219"/>
      <c r="O18" s="233"/>
      <c r="P18" s="221"/>
      <c r="Q18" s="235"/>
      <c r="R18" s="223"/>
      <c r="S18" s="237"/>
    </row>
    <row r="19" spans="2:19" x14ac:dyDescent="0.25">
      <c r="B19" s="41" t="s">
        <v>364</v>
      </c>
      <c r="C19" s="8" t="s">
        <v>0</v>
      </c>
      <c r="D19" s="349">
        <v>4.4390000000000001</v>
      </c>
      <c r="E19" s="733" cm="1">
        <f t="array" aca="1" ref="E19" ca="1">INDIRECT(ADDRESS(ROW(),MATCH(MAX(G19,I19,K19,M19,O19,Q19,S19),F19:S19,0)-1+COLUMNS(A19:E19),4))</f>
        <v>70.42</v>
      </c>
      <c r="F19" s="763">
        <f>14*Euro!B3</f>
        <v>70.42</v>
      </c>
      <c r="G19" s="225">
        <v>44732</v>
      </c>
      <c r="H19" s="213"/>
      <c r="I19" s="227"/>
      <c r="J19" s="215"/>
      <c r="K19" s="229"/>
      <c r="L19" s="217"/>
      <c r="M19" s="231"/>
      <c r="N19" s="219"/>
      <c r="O19" s="233"/>
      <c r="P19" s="221"/>
      <c r="Q19" s="235"/>
      <c r="R19" s="223"/>
      <c r="S19" s="237"/>
    </row>
    <row r="20" spans="2:19" x14ac:dyDescent="0.25">
      <c r="B20" s="41" t="s">
        <v>356</v>
      </c>
      <c r="C20" s="8" t="s">
        <v>0</v>
      </c>
      <c r="D20" s="349">
        <v>3.0089999999999999</v>
      </c>
      <c r="E20" s="279" cm="1">
        <f t="array" aca="1" ref="E20" ca="1">INDIRECT(ADDRESS(ROW(),MATCH(MAX(G20,I20,K20,M20,O20,Q20,S20),F20:S20,0)-1+COLUMNS(A20:E20),4))</f>
        <v>14.3</v>
      </c>
      <c r="F20" s="763">
        <v>15</v>
      </c>
      <c r="G20" s="225">
        <v>44726</v>
      </c>
      <c r="H20" s="446">
        <v>14.3</v>
      </c>
      <c r="I20" s="227">
        <v>44732</v>
      </c>
      <c r="J20" s="215"/>
      <c r="K20" s="229"/>
      <c r="L20" s="217"/>
      <c r="M20" s="231"/>
      <c r="N20" s="219"/>
      <c r="O20" s="233"/>
      <c r="P20" s="221"/>
      <c r="Q20" s="235"/>
      <c r="R20" s="223"/>
      <c r="S20" s="237"/>
    </row>
    <row r="21" spans="2:19" x14ac:dyDescent="0.25">
      <c r="B21" s="41" t="s">
        <v>363</v>
      </c>
      <c r="C21" s="8" t="s">
        <v>0</v>
      </c>
      <c r="D21" s="349">
        <v>2.2749999999999999</v>
      </c>
      <c r="E21" s="765" cm="1">
        <f t="array" aca="1" ref="E21" ca="1">INDIRECT(ADDRESS(ROW(),MATCH(MAX(G21,I21,K21,M21,O21,Q21,S21),F21:S21,0)-1+COLUMNS(A21:E21),4))</f>
        <v>41.648400000000002</v>
      </c>
      <c r="F21" s="763">
        <f>8.28*Euro!B3</f>
        <v>41.648400000000002</v>
      </c>
      <c r="G21" s="225">
        <v>44732</v>
      </c>
      <c r="H21" s="446"/>
      <c r="I21" s="227"/>
      <c r="J21" s="215"/>
      <c r="K21" s="229"/>
      <c r="L21" s="217"/>
      <c r="M21" s="231"/>
      <c r="N21" s="219"/>
      <c r="O21" s="233"/>
      <c r="P21" s="221"/>
      <c r="Q21" s="235"/>
      <c r="R21" s="223"/>
      <c r="S21" s="237"/>
    </row>
    <row r="22" spans="2:19" x14ac:dyDescent="0.25">
      <c r="B22" s="41" t="s">
        <v>119</v>
      </c>
      <c r="C22" s="8" t="s">
        <v>0</v>
      </c>
      <c r="D22" s="349">
        <v>5.0339999999999998</v>
      </c>
      <c r="E22" s="279" cm="1">
        <f t="array" aca="1" ref="E22" ca="1">INDIRECT(ADDRESS(ROW(),MATCH(MAX(G22,I22,K22,M22,O22,Q22,S22),F22:S22,0)-1+COLUMNS(A22:E22),4))</f>
        <v>21.2</v>
      </c>
      <c r="F22" s="763">
        <f>21</f>
        <v>21</v>
      </c>
      <c r="G22" s="225">
        <v>44229</v>
      </c>
      <c r="H22" s="213">
        <v>32</v>
      </c>
      <c r="I22" s="227">
        <v>44391</v>
      </c>
      <c r="J22" s="215">
        <v>25.5</v>
      </c>
      <c r="K22" s="229">
        <v>44606</v>
      </c>
      <c r="L22" s="217">
        <v>24.2</v>
      </c>
      <c r="M22" s="231">
        <v>44700</v>
      </c>
      <c r="N22" s="219">
        <v>21.2</v>
      </c>
      <c r="O22" s="233">
        <v>44932</v>
      </c>
      <c r="P22" s="221"/>
      <c r="Q22" s="235"/>
      <c r="R22" s="223"/>
      <c r="S22" s="237"/>
    </row>
    <row r="23" spans="2:19" x14ac:dyDescent="0.25">
      <c r="B23" s="41" t="s">
        <v>396</v>
      </c>
      <c r="C23" s="8" t="s">
        <v>0</v>
      </c>
      <c r="D23" s="349">
        <v>4.2389999999999999</v>
      </c>
      <c r="E23" s="279" cm="1">
        <f t="array" aca="1" ref="E23" ca="1">INDIRECT(ADDRESS(ROW(),MATCH(MAX(G23,I23,K23,M23,O23,Q23,S23),F23:S23,0)-1+COLUMNS(A23:E23),4))</f>
        <v>18.899999999999999</v>
      </c>
      <c r="F23" s="763">
        <v>20</v>
      </c>
      <c r="G23" s="225">
        <v>44802</v>
      </c>
      <c r="H23" s="213">
        <v>15</v>
      </c>
      <c r="I23" s="227">
        <v>44973</v>
      </c>
      <c r="J23" s="215">
        <v>18.899999999999999</v>
      </c>
      <c r="K23" s="229">
        <v>45034</v>
      </c>
      <c r="L23" s="217"/>
      <c r="M23" s="231"/>
      <c r="N23" s="219"/>
      <c r="O23" s="233"/>
      <c r="P23" s="221"/>
      <c r="Q23" s="235"/>
      <c r="R23" s="223"/>
      <c r="S23" s="237"/>
    </row>
    <row r="24" spans="2:19" x14ac:dyDescent="0.25">
      <c r="B24" s="41" t="s">
        <v>35</v>
      </c>
      <c r="C24" s="8" t="s">
        <v>0</v>
      </c>
      <c r="D24" s="349">
        <v>4.2169999999999996</v>
      </c>
      <c r="E24" s="279" cm="1">
        <f t="array" aca="1" ref="E24" ca="1">INDIRECT(ADDRESS(ROW(),MATCH(MAX(G24,I24,K24,M24,O24,Q24,S24),F24:S24,0)-1+COLUMNS(A24:E24),4))</f>
        <v>17.899999999999999</v>
      </c>
      <c r="F24" s="763">
        <f>21</f>
        <v>21</v>
      </c>
      <c r="G24" s="225">
        <v>44139</v>
      </c>
      <c r="H24" s="213">
        <v>17.899999999999999</v>
      </c>
      <c r="I24" s="227">
        <v>44973</v>
      </c>
      <c r="J24" s="215"/>
      <c r="K24" s="229"/>
      <c r="L24" s="217"/>
      <c r="M24" s="231"/>
      <c r="N24" s="219"/>
      <c r="O24" s="233"/>
      <c r="P24" s="221"/>
      <c r="Q24" s="235"/>
      <c r="R24" s="223"/>
      <c r="S24" s="237"/>
    </row>
    <row r="25" spans="2:19" x14ac:dyDescent="0.25">
      <c r="B25" s="41" t="s">
        <v>174</v>
      </c>
      <c r="C25" s="8" t="s">
        <v>0</v>
      </c>
      <c r="D25" s="349">
        <v>2.8759999999999999</v>
      </c>
      <c r="E25" s="279" cm="1">
        <f t="array" aca="1" ref="E25" ca="1">INDIRECT(ADDRESS(ROW(),MATCH(MAX(G25,I25,K25,M25,O25,Q25,S25),F25:S25,0)-1+COLUMNS(A25:E25),4))</f>
        <v>19</v>
      </c>
      <c r="F25" s="763">
        <v>16</v>
      </c>
      <c r="G25" s="225">
        <v>44235</v>
      </c>
      <c r="H25" s="213">
        <v>19</v>
      </c>
      <c r="I25" s="227">
        <v>44683</v>
      </c>
      <c r="J25" s="215"/>
      <c r="K25" s="229"/>
      <c r="L25" s="217"/>
      <c r="M25" s="231"/>
      <c r="N25" s="219"/>
      <c r="O25" s="233"/>
      <c r="P25" s="221"/>
      <c r="Q25" s="235"/>
      <c r="R25" s="223"/>
      <c r="S25" s="237"/>
    </row>
    <row r="26" spans="2:19" x14ac:dyDescent="0.25">
      <c r="B26" s="41" t="s">
        <v>151</v>
      </c>
      <c r="C26" s="8" t="s">
        <v>0</v>
      </c>
      <c r="D26" s="349">
        <v>4.37</v>
      </c>
      <c r="E26" s="279" cm="1">
        <f t="array" aca="1" ref="E26" ca="1">INDIRECT(ADDRESS(ROW(),MATCH(MAX(G26,I26,K26,M26,O26,Q26,S26),F26:S26,0)-1+COLUMNS(A26:E26),4))</f>
        <v>19.5</v>
      </c>
      <c r="F26" s="763">
        <v>19.5</v>
      </c>
      <c r="G26" s="225">
        <v>44292</v>
      </c>
      <c r="H26" s="213"/>
      <c r="I26" s="227"/>
      <c r="J26" s="215"/>
      <c r="K26" s="229"/>
      <c r="L26" s="217"/>
      <c r="M26" s="231"/>
      <c r="N26" s="219"/>
      <c r="O26" s="233"/>
      <c r="P26" s="221"/>
      <c r="Q26" s="235"/>
      <c r="R26" s="223"/>
      <c r="S26" s="237"/>
    </row>
    <row r="27" spans="2:19" x14ac:dyDescent="0.25">
      <c r="B27" s="41" t="s">
        <v>52</v>
      </c>
      <c r="C27" s="8" t="s">
        <v>0</v>
      </c>
      <c r="D27" s="349">
        <v>3.351</v>
      </c>
      <c r="E27" s="279" cm="1">
        <f t="array" aca="1" ref="E27" ca="1">INDIRECT(ADDRESS(ROW(),MATCH(MAX(G27,I27,K27,M27,O27,Q27,S27),F27:S27,0)-1+COLUMNS(A27:E27),4))</f>
        <v>13.7</v>
      </c>
      <c r="F27" s="763">
        <v>20.3</v>
      </c>
      <c r="G27" s="225">
        <v>44685</v>
      </c>
      <c r="H27" s="213">
        <v>19.100000000000001</v>
      </c>
      <c r="I27" s="227">
        <v>44719</v>
      </c>
      <c r="J27" s="546">
        <v>16</v>
      </c>
      <c r="K27" s="229">
        <v>44847</v>
      </c>
      <c r="L27" s="217">
        <v>14.1</v>
      </c>
      <c r="M27" s="231">
        <v>44932</v>
      </c>
      <c r="N27" s="219">
        <v>14.2</v>
      </c>
      <c r="O27" s="233">
        <v>44936</v>
      </c>
      <c r="P27" s="221">
        <v>14.1</v>
      </c>
      <c r="Q27" s="235">
        <v>45061</v>
      </c>
      <c r="R27" s="223">
        <v>13.7</v>
      </c>
      <c r="S27" s="237">
        <v>45148</v>
      </c>
    </row>
    <row r="28" spans="2:19" x14ac:dyDescent="0.25">
      <c r="B28" s="41" t="s">
        <v>153</v>
      </c>
      <c r="C28" s="8" t="s">
        <v>0</v>
      </c>
      <c r="D28" s="349">
        <v>2.915</v>
      </c>
      <c r="E28" s="279" cm="1">
        <f t="array" aca="1" ref="E28" ca="1">INDIRECT(ADDRESS(ROW(),MATCH(MAX(G28,I28,K28,M28,O28,Q28,S28),F28:S28,0)-1+COLUMNS(A28:E28),4))</f>
        <v>8.8000000000000007</v>
      </c>
      <c r="F28" s="763">
        <v>8.8000000000000007</v>
      </c>
      <c r="G28" s="225">
        <v>44302</v>
      </c>
      <c r="H28" s="213"/>
      <c r="I28" s="227"/>
      <c r="J28" s="215"/>
      <c r="K28" s="229"/>
      <c r="L28" s="217"/>
      <c r="M28" s="231"/>
      <c r="N28" s="219"/>
      <c r="O28" s="233"/>
      <c r="P28" s="221"/>
      <c r="Q28" s="235"/>
      <c r="R28" s="223"/>
      <c r="S28" s="237"/>
    </row>
    <row r="29" spans="2:19" ht="15.75" x14ac:dyDescent="0.25">
      <c r="B29" s="417" t="s">
        <v>169</v>
      </c>
      <c r="C29" s="8" t="s">
        <v>0</v>
      </c>
      <c r="D29" s="349">
        <v>1.9930000000000001</v>
      </c>
      <c r="E29" s="279" cm="1">
        <f t="array" aca="1" ref="E29" ca="1">INDIRECT(ADDRESS(ROW(),MATCH(MAX(G29,I29,K29,M29,O29,Q29,S29),F29:S29,0)-1+COLUMNS(A29:E29),4))</f>
        <v>8.1999999999999993</v>
      </c>
      <c r="F29" s="763">
        <v>8.4</v>
      </c>
      <c r="G29" s="225">
        <v>44932</v>
      </c>
      <c r="H29" s="213">
        <v>8.5</v>
      </c>
      <c r="I29" s="227">
        <v>44977</v>
      </c>
      <c r="J29" s="546">
        <v>8.9</v>
      </c>
      <c r="K29" s="229">
        <v>45041</v>
      </c>
      <c r="L29" s="217">
        <v>8.4</v>
      </c>
      <c r="M29" s="231">
        <v>45061</v>
      </c>
      <c r="N29" s="219">
        <v>8.5</v>
      </c>
      <c r="O29" s="233">
        <v>45148</v>
      </c>
      <c r="P29" s="221">
        <v>7.9</v>
      </c>
      <c r="Q29" s="235">
        <v>45154</v>
      </c>
      <c r="R29" s="223">
        <v>8.1999999999999993</v>
      </c>
      <c r="S29" s="237">
        <v>45163</v>
      </c>
    </row>
    <row r="30" spans="2:19" x14ac:dyDescent="0.25">
      <c r="B30" s="41" t="s">
        <v>319</v>
      </c>
      <c r="C30" s="8" t="s">
        <v>0</v>
      </c>
      <c r="D30" s="349">
        <v>2.7959999999999998</v>
      </c>
      <c r="E30" s="279" cm="1">
        <f t="array" aca="1" ref="E30" ca="1">INDIRECT(ADDRESS(ROW(),MATCH(MAX(G30,I30,K30,M30,O30,Q30,S30),F30:S30,0)-1+COLUMNS(A30:E30),4))</f>
        <v>14.28</v>
      </c>
      <c r="F30" s="763">
        <v>14.28</v>
      </c>
      <c r="G30" s="225">
        <v>44621</v>
      </c>
      <c r="H30" s="213"/>
      <c r="I30" s="227"/>
      <c r="J30" s="215"/>
      <c r="K30" s="229"/>
      <c r="L30" s="217"/>
      <c r="M30" s="231"/>
      <c r="N30" s="219"/>
      <c r="O30" s="233"/>
      <c r="P30" s="221"/>
      <c r="Q30" s="235"/>
      <c r="R30" s="223"/>
      <c r="S30" s="237"/>
    </row>
    <row r="31" spans="2:19" x14ac:dyDescent="0.25">
      <c r="B31" s="41" t="s">
        <v>392</v>
      </c>
      <c r="C31" s="8" t="s">
        <v>0</v>
      </c>
      <c r="D31" s="349">
        <v>1.8740000000000001</v>
      </c>
      <c r="E31" s="279" cm="1">
        <f t="array" aca="1" ref="E31" ca="1">INDIRECT(ADDRESS(ROW(),MATCH(MAX(G31,I31,K31,M31,O31,Q31,S31),F31:S31,0)-1+COLUMNS(A31:E31),4))</f>
        <v>9.5</v>
      </c>
      <c r="F31" s="763">
        <v>9.5</v>
      </c>
      <c r="G31" s="225">
        <v>44789</v>
      </c>
      <c r="H31" s="213"/>
      <c r="I31" s="227"/>
      <c r="J31" s="215"/>
      <c r="K31" s="229"/>
      <c r="L31" s="217"/>
      <c r="M31" s="231"/>
      <c r="N31" s="219"/>
      <c r="O31" s="233"/>
      <c r="P31" s="221"/>
      <c r="Q31" s="235"/>
      <c r="R31" s="223"/>
      <c r="S31" s="237"/>
    </row>
    <row r="32" spans="2:19" x14ac:dyDescent="0.25">
      <c r="B32" s="41" t="s">
        <v>120</v>
      </c>
      <c r="C32" s="8" t="s">
        <v>0</v>
      </c>
      <c r="D32" s="349">
        <v>2.2709999999999999</v>
      </c>
      <c r="E32" s="279" cm="1">
        <f t="array" aca="1" ref="E32" ca="1">INDIRECT(ADDRESS(ROW(),MATCH(MAX(G32,I32,K32,M32,O32,Q32,S32),F32:S32,0)-1+COLUMNS(A32:E32),4))</f>
        <v>9.6</v>
      </c>
      <c r="F32" s="763">
        <f>9</f>
        <v>9</v>
      </c>
      <c r="G32" s="225">
        <v>44235</v>
      </c>
      <c r="H32" s="213">
        <v>11.5</v>
      </c>
      <c r="I32" s="227">
        <v>44606</v>
      </c>
      <c r="J32" s="215">
        <v>13</v>
      </c>
      <c r="K32" s="229">
        <v>44701</v>
      </c>
      <c r="L32" s="217">
        <v>9.6</v>
      </c>
      <c r="M32" s="231">
        <v>45205</v>
      </c>
      <c r="N32" s="219"/>
      <c r="O32" s="233"/>
      <c r="P32" s="221"/>
      <c r="Q32" s="235"/>
      <c r="R32" s="223"/>
      <c r="S32" s="237"/>
    </row>
    <row r="33" spans="1:19" x14ac:dyDescent="0.25">
      <c r="B33" s="41" t="s">
        <v>191</v>
      </c>
      <c r="C33" s="8" t="s">
        <v>0</v>
      </c>
      <c r="D33" s="349">
        <v>1.5640000000000001</v>
      </c>
      <c r="E33" s="279" cm="1">
        <f t="array" aca="1" ref="E33" ca="1">INDIRECT(ADDRESS(ROW(),MATCH(MAX(G33,I33,K33,M33,O33,Q33,S33),F33:S33,0)-1+COLUMNS(A33:E33),4))</f>
        <v>12.04</v>
      </c>
      <c r="F33" s="763">
        <v>12.04</v>
      </c>
      <c r="G33" s="225">
        <v>44391</v>
      </c>
      <c r="H33" s="213"/>
      <c r="I33" s="227"/>
      <c r="J33" s="215"/>
      <c r="K33" s="229"/>
      <c r="L33" s="217"/>
      <c r="M33" s="231"/>
      <c r="N33" s="219"/>
      <c r="O33" s="233"/>
      <c r="P33" s="221"/>
      <c r="Q33" s="235"/>
      <c r="R33" s="223"/>
      <c r="S33" s="237"/>
    </row>
    <row r="34" spans="1:19" x14ac:dyDescent="0.25">
      <c r="B34" s="12" t="s">
        <v>96</v>
      </c>
      <c r="C34" s="8" t="s">
        <v>0</v>
      </c>
      <c r="D34" s="349">
        <v>1.381</v>
      </c>
      <c r="E34" s="279" cm="1">
        <f t="array" aca="1" ref="E34" ca="1">INDIRECT(ADDRESS(ROW(),MATCH(MAX(G34,I34,K34,M34,O34,Q34,S34),F34:S34,0)-1+COLUMNS(A34:E34),4))</f>
        <v>10.199999999999999</v>
      </c>
      <c r="F34" s="763">
        <v>9.5</v>
      </c>
      <c r="G34" s="225">
        <v>44238</v>
      </c>
      <c r="H34" s="213">
        <v>19.7</v>
      </c>
      <c r="I34" s="227">
        <v>44644</v>
      </c>
      <c r="J34" s="547">
        <f>3.38*Euro!B3</f>
        <v>17.0014</v>
      </c>
      <c r="K34" s="229">
        <v>44733</v>
      </c>
      <c r="L34" s="217">
        <v>19</v>
      </c>
      <c r="M34" s="231">
        <v>44749</v>
      </c>
      <c r="N34" s="219">
        <v>20.5</v>
      </c>
      <c r="O34" s="233">
        <v>44911</v>
      </c>
      <c r="P34" s="221">
        <v>10.199999999999999</v>
      </c>
      <c r="Q34" s="235">
        <v>44967</v>
      </c>
      <c r="R34" s="223"/>
      <c r="S34" s="237"/>
    </row>
    <row r="35" spans="1:19" x14ac:dyDescent="0.25">
      <c r="B35" s="12" t="s">
        <v>95</v>
      </c>
      <c r="C35" s="8" t="s">
        <v>0</v>
      </c>
      <c r="D35" s="349">
        <v>1.054</v>
      </c>
      <c r="E35" s="279" cm="1">
        <f t="array" aca="1" ref="E35" ca="1">INDIRECT(ADDRESS(ROW(),MATCH(MAX(G35,I35,K35,M35,O35,Q35,S35),F35:S35,0)-1+COLUMNS(A35:E35),4))</f>
        <v>12.011999999999999</v>
      </c>
      <c r="F35" s="763">
        <f>1*Euro!B3</f>
        <v>5.03</v>
      </c>
      <c r="G35" s="225">
        <v>44174</v>
      </c>
      <c r="H35" s="446">
        <v>8.1969999999999992</v>
      </c>
      <c r="I35" s="227">
        <v>44645</v>
      </c>
      <c r="J35" s="547">
        <f>2.4*5.005</f>
        <v>12.011999999999999</v>
      </c>
      <c r="K35" s="229">
        <v>45041</v>
      </c>
      <c r="L35" s="217"/>
      <c r="M35" s="231"/>
      <c r="N35" s="219"/>
      <c r="O35" s="233"/>
      <c r="P35" s="221"/>
      <c r="Q35" s="235"/>
      <c r="R35" s="223"/>
      <c r="S35" s="237"/>
    </row>
    <row r="36" spans="1:19" x14ac:dyDescent="0.25">
      <c r="B36" s="12" t="s">
        <v>321</v>
      </c>
      <c r="C36" s="8" t="s">
        <v>0</v>
      </c>
      <c r="D36" s="349">
        <v>1.1339999999999999</v>
      </c>
      <c r="E36" s="279" cm="1">
        <f t="array" aca="1" ref="E36" ca="1">INDIRECT(ADDRESS(ROW(),MATCH(MAX(G36,I36,K36,M36,O36,Q36,S36),F36:S36,0)-1+COLUMNS(A36:E36),4))</f>
        <v>5.7</v>
      </c>
      <c r="F36" s="763">
        <v>9.3000000000000007</v>
      </c>
      <c r="G36" s="225">
        <v>44631</v>
      </c>
      <c r="H36" s="213">
        <v>5.7</v>
      </c>
      <c r="I36" s="227">
        <v>44789</v>
      </c>
      <c r="J36" s="215"/>
      <c r="K36" s="229"/>
      <c r="L36" s="217"/>
      <c r="M36" s="231"/>
      <c r="N36" s="219"/>
      <c r="O36" s="233"/>
      <c r="P36" s="221"/>
      <c r="Q36" s="235"/>
      <c r="R36" s="223"/>
      <c r="S36" s="237"/>
    </row>
    <row r="37" spans="1:19" x14ac:dyDescent="0.25">
      <c r="B37" s="12" t="s">
        <v>395</v>
      </c>
      <c r="C37" s="8" t="s">
        <v>0</v>
      </c>
      <c r="D37" s="349">
        <v>0.86899999999999999</v>
      </c>
      <c r="E37" s="279" cm="1">
        <f t="array" aca="1" ref="E37" ca="1">INDIRECT(ADDRESS(ROW(),MATCH(MAX(G37,I37,K37,M37,O37,Q37,S37),F37:S37,0)-1+COLUMNS(A37:E37),4))</f>
        <v>5.46</v>
      </c>
      <c r="F37" s="763">
        <v>5.46</v>
      </c>
      <c r="G37" s="225">
        <v>44795</v>
      </c>
      <c r="H37" s="213"/>
      <c r="I37" s="227"/>
      <c r="J37" s="215"/>
      <c r="K37" s="229"/>
      <c r="L37" s="217"/>
      <c r="M37" s="231"/>
      <c r="N37" s="219"/>
      <c r="O37" s="233"/>
      <c r="P37" s="221"/>
      <c r="Q37" s="235"/>
      <c r="R37" s="223"/>
      <c r="S37" s="237"/>
    </row>
    <row r="38" spans="1:19" ht="15.75" x14ac:dyDescent="0.25">
      <c r="A38" t="str">
        <f>"S235 cu " &amp;(1302/6)&amp;"  fire"</f>
        <v>S235 cu 217  fire</v>
      </c>
      <c r="B38" s="440" t="s">
        <v>90</v>
      </c>
      <c r="C38" s="33" t="s">
        <v>0</v>
      </c>
      <c r="D38" s="414">
        <v>0.95199999999999996</v>
      </c>
      <c r="E38" s="733" cm="1">
        <f t="array" aca="1" ref="E38" ca="1">INDIRECT(ADDRESS(ROW(),MATCH(MAX(G38,I38,K38,M38,O38,Q38,S38),F38:S38,0)-1+COLUMNS(A38:E38),4))</f>
        <v>3.9</v>
      </c>
      <c r="F38" s="763">
        <v>4.2</v>
      </c>
      <c r="G38" s="225">
        <v>44977</v>
      </c>
      <c r="H38" s="213">
        <v>4.5999999999999996</v>
      </c>
      <c r="I38" s="227">
        <v>44980</v>
      </c>
      <c r="J38" s="546">
        <v>4.0999999999999996</v>
      </c>
      <c r="K38" s="229">
        <v>45061</v>
      </c>
      <c r="L38" s="217">
        <v>4.24</v>
      </c>
      <c r="M38" s="231">
        <v>45069</v>
      </c>
      <c r="N38" s="219">
        <v>6.9916999999999998</v>
      </c>
      <c r="O38" s="233">
        <v>45076</v>
      </c>
      <c r="P38" s="892">
        <v>4.21</v>
      </c>
      <c r="Q38" s="235">
        <v>45148</v>
      </c>
      <c r="R38" s="885">
        <v>3.9</v>
      </c>
      <c r="S38" s="237">
        <v>45154</v>
      </c>
    </row>
    <row r="39" spans="1:19" ht="15.75" x14ac:dyDescent="0.25">
      <c r="B39" s="440" t="s">
        <v>458</v>
      </c>
      <c r="C39" s="33" t="s">
        <v>0</v>
      </c>
      <c r="D39" s="414">
        <v>0.73199999999999998</v>
      </c>
      <c r="E39" s="279" cm="1">
        <f t="array" aca="1" ref="E39" ca="1">INDIRECT(ADDRESS(ROW(),MATCH(MAX(G39,I39,K39,M39,O39,Q39,S39),F39:S39,0)-1+COLUMNS(A39:E39),4))</f>
        <v>3.5</v>
      </c>
      <c r="F39" s="763">
        <v>3.5</v>
      </c>
      <c r="G39" s="225">
        <v>45008</v>
      </c>
      <c r="H39" s="213"/>
      <c r="I39" s="227"/>
      <c r="J39" s="546"/>
      <c r="K39" s="229"/>
      <c r="L39" s="217"/>
      <c r="M39" s="231"/>
      <c r="N39" s="219"/>
      <c r="O39" s="233"/>
      <c r="P39" s="221"/>
      <c r="Q39" s="235"/>
      <c r="R39" s="223"/>
      <c r="S39" s="237"/>
    </row>
    <row r="40" spans="1:19" x14ac:dyDescent="0.25">
      <c r="B40" s="41" t="s">
        <v>2</v>
      </c>
      <c r="C40" s="8" t="s">
        <v>0</v>
      </c>
      <c r="D40" s="349">
        <v>0.68400000000000005</v>
      </c>
      <c r="E40" s="733" cm="1">
        <f t="array" aca="1" ref="E40" ca="1">INDIRECT(ADDRESS(ROW(),MATCH(MAX(G40,I40,K40,M40,O40,Q40,S40),F40:S40,0)-1+COLUMNS(A40:E40),4))</f>
        <v>3.4</v>
      </c>
      <c r="F40" s="763">
        <f>0.8*Euro!B3</f>
        <v>4.024</v>
      </c>
      <c r="G40" s="225">
        <v>44606</v>
      </c>
      <c r="H40" s="213">
        <v>3.4</v>
      </c>
      <c r="I40" s="227">
        <v>45007</v>
      </c>
      <c r="J40" s="215"/>
      <c r="K40" s="238"/>
      <c r="L40" s="217"/>
      <c r="M40" s="239"/>
      <c r="N40" s="219"/>
      <c r="O40" s="240"/>
      <c r="P40" s="221"/>
      <c r="Q40" s="241"/>
      <c r="R40" s="223"/>
      <c r="S40" s="242"/>
    </row>
    <row r="41" spans="1:19" ht="16.5" thickBot="1" x14ac:dyDescent="0.3">
      <c r="B41" s="439" t="s">
        <v>101</v>
      </c>
      <c r="C41" s="37" t="s">
        <v>0</v>
      </c>
      <c r="D41" s="760">
        <v>0.53600000000000003</v>
      </c>
      <c r="E41" s="757" cm="1">
        <f t="array" aca="1" ref="E41" ca="1">INDIRECT(ADDRESS(ROW(),MATCH(MAX(G41,I41,K41,M41,O41,Q41,S41),F41:S41,0)-1+COLUMNS(A41:E41),4))</f>
        <v>3</v>
      </c>
      <c r="F41" s="764">
        <v>8.1</v>
      </c>
      <c r="G41" s="243">
        <v>44306</v>
      </c>
      <c r="H41" s="244">
        <v>3.2</v>
      </c>
      <c r="I41" s="245">
        <v>44497</v>
      </c>
      <c r="J41" s="246">
        <v>2.89</v>
      </c>
      <c r="K41" s="247">
        <v>44726</v>
      </c>
      <c r="L41" s="248">
        <v>3</v>
      </c>
      <c r="M41" s="249">
        <v>44901</v>
      </c>
      <c r="N41" s="250"/>
      <c r="O41" s="251"/>
      <c r="P41" s="252"/>
      <c r="Q41" s="253"/>
      <c r="R41" s="254"/>
      <c r="S41" s="255"/>
    </row>
    <row r="42" spans="1:19" ht="15.75" thickBot="1" x14ac:dyDescent="0.3"/>
    <row r="43" spans="1:19" ht="16.5" thickBot="1" x14ac:dyDescent="0.3">
      <c r="B43" s="528" t="s">
        <v>420</v>
      </c>
      <c r="C43" s="529"/>
      <c r="D43" s="530"/>
      <c r="E43" s="101"/>
    </row>
    <row r="44" spans="1:19" x14ac:dyDescent="0.25">
      <c r="B44" s="17" t="s">
        <v>28</v>
      </c>
      <c r="C44" s="18" t="s">
        <v>29</v>
      </c>
      <c r="D44" s="100" t="s">
        <v>177</v>
      </c>
      <c r="E44" s="105" t="s">
        <v>418</v>
      </c>
      <c r="F44" s="122" t="s">
        <v>178</v>
      </c>
      <c r="G44" s="993" t="s">
        <v>39</v>
      </c>
      <c r="H44" s="594" t="s">
        <v>178</v>
      </c>
      <c r="I44" s="942" t="s">
        <v>39</v>
      </c>
      <c r="J44" s="130" t="s">
        <v>178</v>
      </c>
      <c r="K44" s="944" t="s">
        <v>39</v>
      </c>
      <c r="L44" s="598" t="s">
        <v>178</v>
      </c>
      <c r="M44" s="931" t="s">
        <v>39</v>
      </c>
      <c r="N44" s="600" t="s">
        <v>178</v>
      </c>
      <c r="O44" s="929" t="s">
        <v>39</v>
      </c>
      <c r="P44" s="602" t="s">
        <v>178</v>
      </c>
      <c r="Q44" s="927" t="s">
        <v>39</v>
      </c>
      <c r="R44" s="103" t="s">
        <v>178</v>
      </c>
      <c r="S44" s="991" t="s">
        <v>39</v>
      </c>
    </row>
    <row r="45" spans="1:19" ht="15.75" thickBot="1" x14ac:dyDescent="0.3">
      <c r="B45" s="38"/>
      <c r="C45" s="39"/>
      <c r="D45" s="40" t="s">
        <v>175</v>
      </c>
      <c r="E45" s="150" t="s">
        <v>419</v>
      </c>
      <c r="F45" s="123" t="s">
        <v>179</v>
      </c>
      <c r="G45" s="994"/>
      <c r="H45" s="595" t="s">
        <v>179</v>
      </c>
      <c r="I45" s="943"/>
      <c r="J45" s="131" t="s">
        <v>179</v>
      </c>
      <c r="K45" s="945"/>
      <c r="L45" s="599" t="s">
        <v>179</v>
      </c>
      <c r="M45" s="932"/>
      <c r="N45" s="601" t="s">
        <v>179</v>
      </c>
      <c r="O45" s="930"/>
      <c r="P45" s="603" t="s">
        <v>179</v>
      </c>
      <c r="Q45" s="928"/>
      <c r="R45" s="104" t="s">
        <v>179</v>
      </c>
      <c r="S45" s="992"/>
    </row>
    <row r="46" spans="1:19" x14ac:dyDescent="0.25">
      <c r="B46" s="48" t="s">
        <v>291</v>
      </c>
      <c r="C46" s="49" t="s">
        <v>0</v>
      </c>
      <c r="D46" s="346">
        <v>0.63600000000000001</v>
      </c>
      <c r="E46" s="375" cm="1">
        <f t="array" aca="1" ref="E46" ca="1">INDIRECT(ADDRESS(ROW(),MATCH(MAX(G46,I46,K46,M46,O46,Q46,S46),F46:S46,0)-1+COLUMNS(A46:E46),4))</f>
        <v>32</v>
      </c>
      <c r="F46" s="691">
        <v>69</v>
      </c>
      <c r="G46" s="566">
        <v>44606</v>
      </c>
      <c r="H46" s="567" t="s">
        <v>329</v>
      </c>
      <c r="I46" s="326">
        <v>44679</v>
      </c>
      <c r="J46" s="692" t="s">
        <v>348</v>
      </c>
      <c r="K46" s="328">
        <v>44679</v>
      </c>
      <c r="L46" s="329" t="s">
        <v>353</v>
      </c>
      <c r="M46" s="330">
        <v>44747</v>
      </c>
      <c r="N46" s="331" t="str">
        <f>74*D46&amp;"(74 lei/kg)"</f>
        <v>47.064(74 lei/kg)</v>
      </c>
      <c r="O46" s="332">
        <v>44813</v>
      </c>
      <c r="P46" s="693">
        <f>(6.3176*Euro!B3+0.714*(6.17/30)*Euro!B3)</f>
        <v>32.516163380000002</v>
      </c>
      <c r="Q46" s="334">
        <v>44894</v>
      </c>
      <c r="R46" s="335">
        <v>32</v>
      </c>
      <c r="S46" s="212">
        <v>44977</v>
      </c>
    </row>
    <row r="47" spans="1:19" x14ac:dyDescent="0.25">
      <c r="B47" s="41" t="s">
        <v>322</v>
      </c>
      <c r="C47" s="8" t="s">
        <v>0</v>
      </c>
      <c r="D47" s="349">
        <v>0.318</v>
      </c>
      <c r="E47" s="279" cm="1">
        <f t="array" aca="1" ref="E47" ca="1">INDIRECT(ADDRESS(ROW(),MATCH(MAX(G47,I47,K47,M47,O47,Q47,S47),F47:S47,0)-1+COLUMNS(A47:E47),4))</f>
        <v>10.5</v>
      </c>
      <c r="F47" s="552">
        <v>10.5</v>
      </c>
      <c r="G47" s="553">
        <v>44631</v>
      </c>
      <c r="H47" s="554"/>
      <c r="I47" s="555"/>
      <c r="J47" s="556"/>
      <c r="K47" s="557"/>
      <c r="L47" s="587"/>
      <c r="M47" s="607"/>
      <c r="N47" s="560"/>
      <c r="O47" s="561"/>
      <c r="P47" s="562"/>
      <c r="Q47" s="563"/>
      <c r="R47" s="564"/>
      <c r="S47" s="242"/>
    </row>
    <row r="48" spans="1:19" x14ac:dyDescent="0.25">
      <c r="B48" s="41" t="s">
        <v>323</v>
      </c>
      <c r="C48" s="8" t="s">
        <v>0</v>
      </c>
      <c r="D48" s="349">
        <v>0.245</v>
      </c>
      <c r="E48" s="279" cm="1">
        <f t="array" aca="1" ref="E48" ca="1">INDIRECT(ADDRESS(ROW(),MATCH(MAX(G48,I48,K48,M48,O48,Q48,S48),F48:S48,0)-1+COLUMNS(A48:E48),4))</f>
        <v>8.1</v>
      </c>
      <c r="F48" s="552">
        <v>8.1</v>
      </c>
      <c r="G48" s="553">
        <v>44631</v>
      </c>
      <c r="H48" s="554"/>
      <c r="I48" s="555"/>
      <c r="J48" s="556"/>
      <c r="K48" s="557"/>
      <c r="L48" s="558"/>
      <c r="M48" s="559"/>
      <c r="N48" s="560"/>
      <c r="O48" s="561"/>
      <c r="P48" s="562"/>
      <c r="Q48" s="563"/>
      <c r="R48" s="564"/>
      <c r="S48" s="242"/>
    </row>
    <row r="49" spans="2:20" x14ac:dyDescent="0.25">
      <c r="B49" s="41" t="s">
        <v>294</v>
      </c>
      <c r="C49" s="8" t="s">
        <v>0</v>
      </c>
      <c r="D49" s="349">
        <v>0.247</v>
      </c>
      <c r="E49" s="279" cm="1">
        <f t="array" aca="1" ref="E49" ca="1">INDIRECT(ADDRESS(ROW(),MATCH(MAX(G49,I49,K49,M49,O49,Q49,S49),F49:S49,0)-1+COLUMNS(A49:E49),4))</f>
        <v>9</v>
      </c>
      <c r="F49" s="552">
        <f>7.9</f>
        <v>7.9</v>
      </c>
      <c r="G49" s="553">
        <v>44511</v>
      </c>
      <c r="H49" s="554">
        <v>7.95</v>
      </c>
      <c r="I49" s="555">
        <v>44606</v>
      </c>
      <c r="J49" s="556">
        <v>9.5</v>
      </c>
      <c r="K49" s="565">
        <v>44747</v>
      </c>
      <c r="L49" s="558">
        <v>11</v>
      </c>
      <c r="M49" s="580">
        <v>44813</v>
      </c>
      <c r="N49" s="679">
        <f>(1.7349*Euro!B3+0.286*Euro!B3*(6.17/12))</f>
        <v>9.4662168833333347</v>
      </c>
      <c r="O49" s="662">
        <v>44894</v>
      </c>
      <c r="P49" s="562">
        <v>9</v>
      </c>
      <c r="Q49" s="663">
        <v>44977</v>
      </c>
      <c r="R49" s="564"/>
      <c r="S49" s="242"/>
    </row>
    <row r="50" spans="2:20" ht="15.75" thickBot="1" x14ac:dyDescent="0.3">
      <c r="B50" s="24" t="s">
        <v>287</v>
      </c>
      <c r="C50" s="23" t="s">
        <v>0</v>
      </c>
      <c r="D50" s="187">
        <v>0.192</v>
      </c>
      <c r="E50" s="757" cm="1">
        <f t="array" aca="1" ref="E50" ca="1">INDIRECT(ADDRESS(ROW(),MATCH(MAX(G50,I50,K50,M50,O50,Q50,S50),F50:S50,0)-1+COLUMNS(A50:E50),4))</f>
        <v>7.95</v>
      </c>
      <c r="F50" s="568">
        <f>7.95</f>
        <v>7.95</v>
      </c>
      <c r="G50" s="569">
        <v>44511</v>
      </c>
      <c r="H50" s="570"/>
      <c r="I50" s="571"/>
      <c r="J50" s="337"/>
      <c r="K50" s="572"/>
      <c r="L50" s="339"/>
      <c r="M50" s="573"/>
      <c r="N50" s="341"/>
      <c r="O50" s="574"/>
      <c r="P50" s="343"/>
      <c r="Q50" s="575"/>
      <c r="R50" s="345"/>
      <c r="S50" s="531"/>
    </row>
    <row r="51" spans="2:20" ht="15.75" thickBot="1" x14ac:dyDescent="0.3"/>
    <row r="52" spans="2:20" ht="19.5" thickBot="1" x14ac:dyDescent="0.3">
      <c r="B52" s="967" t="s">
        <v>244</v>
      </c>
      <c r="C52" s="980"/>
      <c r="D52" s="980"/>
      <c r="E52" s="980"/>
      <c r="F52" s="968"/>
      <c r="G52" s="101"/>
      <c r="H52" s="101"/>
    </row>
    <row r="53" spans="2:20" x14ac:dyDescent="0.25">
      <c r="B53" s="17" t="s">
        <v>28</v>
      </c>
      <c r="C53" s="18" t="s">
        <v>29</v>
      </c>
      <c r="D53" s="18" t="s">
        <v>133</v>
      </c>
      <c r="E53" s="100" t="s">
        <v>177</v>
      </c>
      <c r="F53" s="105" t="s">
        <v>418</v>
      </c>
      <c r="G53" s="122" t="s">
        <v>178</v>
      </c>
      <c r="H53" s="993" t="s">
        <v>39</v>
      </c>
      <c r="I53" s="594" t="s">
        <v>178</v>
      </c>
      <c r="J53" s="942" t="s">
        <v>39</v>
      </c>
      <c r="K53" s="596" t="s">
        <v>178</v>
      </c>
      <c r="L53" s="944" t="s">
        <v>39</v>
      </c>
      <c r="M53" s="132" t="s">
        <v>178</v>
      </c>
      <c r="N53" s="931" t="s">
        <v>39</v>
      </c>
      <c r="O53" s="600" t="s">
        <v>178</v>
      </c>
      <c r="P53" s="929" t="s">
        <v>39</v>
      </c>
      <c r="Q53" s="602" t="s">
        <v>178</v>
      </c>
      <c r="R53" s="927" t="s">
        <v>39</v>
      </c>
      <c r="S53" s="138" t="s">
        <v>178</v>
      </c>
      <c r="T53" s="933" t="s">
        <v>39</v>
      </c>
    </row>
    <row r="54" spans="2:20" ht="15.75" thickBot="1" x14ac:dyDescent="0.3">
      <c r="B54" s="53"/>
      <c r="C54" s="21"/>
      <c r="D54" s="21"/>
      <c r="E54" s="380" t="s">
        <v>175</v>
      </c>
      <c r="F54" s="52" t="s">
        <v>419</v>
      </c>
      <c r="G54" s="123" t="s">
        <v>179</v>
      </c>
      <c r="H54" s="994"/>
      <c r="I54" s="595" t="s">
        <v>179</v>
      </c>
      <c r="J54" s="943"/>
      <c r="K54" s="597" t="s">
        <v>179</v>
      </c>
      <c r="L54" s="945"/>
      <c r="M54" s="133" t="s">
        <v>179</v>
      </c>
      <c r="N54" s="932"/>
      <c r="O54" s="601" t="s">
        <v>179</v>
      </c>
      <c r="P54" s="930"/>
      <c r="Q54" s="603" t="s">
        <v>179</v>
      </c>
      <c r="R54" s="928"/>
      <c r="S54" s="139" t="s">
        <v>179</v>
      </c>
      <c r="T54" s="934"/>
    </row>
    <row r="55" spans="2:20" x14ac:dyDescent="0.25">
      <c r="B55" s="50" t="s">
        <v>123</v>
      </c>
      <c r="C55" s="35" t="s">
        <v>0</v>
      </c>
      <c r="D55" s="35" t="s">
        <v>139</v>
      </c>
      <c r="E55" s="868">
        <v>1.905</v>
      </c>
      <c r="F55" s="745" cm="1">
        <f t="array" aca="1" ref="F55" ca="1">INDIRECT(ADDRESS(ROW(),MATCH(MAX(H55,J55,L55,N55,P55,R55,T55),G55:T55,0)-1+COLUMNS(A55:F55),4))</f>
        <v>56.18</v>
      </c>
      <c r="G55" s="834">
        <f>7.5*Euro!B3</f>
        <v>37.725000000000001</v>
      </c>
      <c r="H55" s="402">
        <v>44229</v>
      </c>
      <c r="I55" s="541">
        <f>13.2*Euro!B3</f>
        <v>66.396000000000001</v>
      </c>
      <c r="J55" s="352">
        <v>44391</v>
      </c>
      <c r="K55" s="383">
        <v>55</v>
      </c>
      <c r="L55" s="353">
        <v>44606</v>
      </c>
      <c r="M55" s="604">
        <v>56.18</v>
      </c>
      <c r="N55" s="538">
        <v>44932</v>
      </c>
      <c r="O55" s="387"/>
      <c r="P55" s="356"/>
      <c r="Q55" s="605"/>
      <c r="R55" s="542"/>
      <c r="S55" s="390"/>
      <c r="T55" s="358"/>
    </row>
    <row r="56" spans="2:20" x14ac:dyDescent="0.25">
      <c r="B56" s="12" t="s">
        <v>340</v>
      </c>
      <c r="C56" s="8" t="s">
        <v>0</v>
      </c>
      <c r="D56" s="8" t="s">
        <v>139</v>
      </c>
      <c r="E56" s="34">
        <v>1.8680000000000001</v>
      </c>
      <c r="F56" s="279" cm="1">
        <f t="array" aca="1" ref="F56" ca="1">INDIRECT(ADDRESS(ROW(),MATCH(MAX(H56,J56,L56,N56,P56,R56,T56),G56:T56,0)-1+COLUMNS(A56:F56),4))</f>
        <v>63</v>
      </c>
      <c r="G56" s="773">
        <v>63</v>
      </c>
      <c r="H56" s="400">
        <v>44700</v>
      </c>
      <c r="I56" s="351"/>
      <c r="J56" s="59"/>
      <c r="K56" s="448"/>
      <c r="L56" s="66"/>
      <c r="M56" s="450"/>
      <c r="N56" s="73"/>
      <c r="O56" s="551"/>
      <c r="P56" s="80"/>
      <c r="Q56" s="578"/>
      <c r="R56" s="87"/>
      <c r="S56" s="577"/>
      <c r="T56" s="94"/>
    </row>
    <row r="57" spans="2:20" x14ac:dyDescent="0.25">
      <c r="B57" s="41" t="s">
        <v>357</v>
      </c>
      <c r="C57" s="8" t="s">
        <v>0</v>
      </c>
      <c r="D57" s="8" t="s">
        <v>139</v>
      </c>
      <c r="E57" s="34">
        <v>3.1070000000000002</v>
      </c>
      <c r="F57" s="279" cm="1">
        <f t="array" aca="1" ref="F57" ca="1">INDIRECT(ADDRESS(ROW(),MATCH(MAX(H57,J57,L57,N57,P57,R57,T57),G57:T57,0)-1+COLUMNS(A57:F57),4))</f>
        <v>93.055000000000007</v>
      </c>
      <c r="G57" s="773">
        <f>18.5*Euro!B3</f>
        <v>93.055000000000007</v>
      </c>
      <c r="H57" s="403">
        <v>44732</v>
      </c>
      <c r="I57" s="351"/>
      <c r="J57" s="447"/>
      <c r="K57" s="448"/>
      <c r="L57" s="495"/>
      <c r="M57" s="450"/>
      <c r="N57" s="497"/>
      <c r="O57" s="551"/>
      <c r="P57" s="499"/>
      <c r="Q57" s="578"/>
      <c r="R57" s="501"/>
      <c r="S57" s="577"/>
      <c r="T57" s="503"/>
    </row>
    <row r="58" spans="2:20" x14ac:dyDescent="0.25">
      <c r="B58" s="41" t="s">
        <v>141</v>
      </c>
      <c r="C58" s="8" t="s">
        <v>0</v>
      </c>
      <c r="D58" s="8" t="s">
        <v>138</v>
      </c>
      <c r="E58" s="34">
        <v>1.9930000000000001</v>
      </c>
      <c r="F58" s="279" cm="1">
        <f t="array" aca="1" ref="F58" ca="1">INDIRECT(ADDRESS(ROW(),MATCH(MAX(H58,J58,L58,N58,P58,R58,T58),G58:T58,0)-1+COLUMNS(A58:F58),4))</f>
        <v>58</v>
      </c>
      <c r="G58" s="774">
        <f>48</f>
        <v>48</v>
      </c>
      <c r="H58" s="403">
        <v>44248</v>
      </c>
      <c r="I58" s="56">
        <v>59</v>
      </c>
      <c r="J58" s="447">
        <v>44700</v>
      </c>
      <c r="K58" s="63">
        <f>11.7*Euro!B3</f>
        <v>58.850999999999999</v>
      </c>
      <c r="L58" s="495">
        <v>44732</v>
      </c>
      <c r="M58" s="70">
        <v>58</v>
      </c>
      <c r="N58" s="73">
        <v>44932</v>
      </c>
      <c r="O58" s="77"/>
      <c r="P58" s="78"/>
      <c r="Q58" s="84"/>
      <c r="R58" s="85"/>
      <c r="S58" s="91"/>
      <c r="T58" s="92"/>
    </row>
    <row r="59" spans="2:20" x14ac:dyDescent="0.25">
      <c r="B59" s="41" t="s">
        <v>140</v>
      </c>
      <c r="C59" s="8" t="s">
        <v>0</v>
      </c>
      <c r="D59" s="8" t="s">
        <v>138</v>
      </c>
      <c r="E59" s="34">
        <v>1.4239999999999999</v>
      </c>
      <c r="F59" s="279" cm="1">
        <f t="array" aca="1" ref="F59" ca="1">INDIRECT(ADDRESS(ROW(),MATCH(MAX(H59,J59,L59,N59,P59,R59,T59),G59:T59,0)-1+COLUMNS(A59:F59),4))</f>
        <v>26.407500000000002</v>
      </c>
      <c r="G59" s="789">
        <f>5.25*Euro!B3</f>
        <v>26.407500000000002</v>
      </c>
      <c r="H59" s="403">
        <v>44248</v>
      </c>
      <c r="I59" s="58"/>
      <c r="J59" s="59"/>
      <c r="K59" s="65"/>
      <c r="L59" s="66"/>
      <c r="M59" s="72"/>
      <c r="N59" s="73"/>
      <c r="O59" s="79"/>
      <c r="P59" s="80"/>
      <c r="Q59" s="86"/>
      <c r="R59" s="87"/>
      <c r="S59" s="93"/>
      <c r="T59" s="94"/>
    </row>
    <row r="60" spans="2:20" x14ac:dyDescent="0.25">
      <c r="B60" s="41" t="s">
        <v>93</v>
      </c>
      <c r="C60" s="8" t="s">
        <v>0</v>
      </c>
      <c r="D60" s="8" t="s">
        <v>138</v>
      </c>
      <c r="E60" s="42">
        <v>1.35</v>
      </c>
      <c r="F60" s="279" cm="1">
        <f t="array" aca="1" ref="F60" ca="1">INDIRECT(ADDRESS(ROW(),MATCH(MAX(H60,J60,L60,N60,P60,R60,T60),G60:T60,0)-1+COLUMNS(A60:F60),4))</f>
        <v>33.701000000000001</v>
      </c>
      <c r="G60" s="766">
        <v>28</v>
      </c>
      <c r="H60" s="400">
        <v>44306</v>
      </c>
      <c r="I60" s="56">
        <v>35</v>
      </c>
      <c r="J60" s="59">
        <v>44385</v>
      </c>
      <c r="K60" s="63">
        <v>31.5</v>
      </c>
      <c r="L60" s="66">
        <v>44491</v>
      </c>
      <c r="M60" s="70">
        <v>36</v>
      </c>
      <c r="N60" s="73">
        <v>44606</v>
      </c>
      <c r="O60" s="77">
        <f>9.2*Euro!B3</f>
        <v>46.275999999999996</v>
      </c>
      <c r="P60" s="80">
        <v>44732</v>
      </c>
      <c r="Q60" s="84">
        <f>8*Euro!B3</f>
        <v>40.24</v>
      </c>
      <c r="R60" s="87">
        <v>44811</v>
      </c>
      <c r="S60" s="577">
        <f>6.7*Euro!B3</f>
        <v>33.701000000000001</v>
      </c>
      <c r="T60" s="94">
        <v>45061</v>
      </c>
    </row>
    <row r="61" spans="2:20" x14ac:dyDescent="0.25">
      <c r="B61" s="41" t="s">
        <v>118</v>
      </c>
      <c r="C61" s="8" t="s">
        <v>0</v>
      </c>
      <c r="D61" s="8"/>
      <c r="E61" s="42">
        <f>1.558</f>
        <v>1.5580000000000001</v>
      </c>
      <c r="F61" s="279" cm="1">
        <f t="array" aca="1" ref="F61" ca="1">INDIRECT(ADDRESS(ROW(),MATCH(MAX(H61,J61,L61,N61,P61,R61,T61),G61:T61,0)-1+COLUMNS(A61:F61),4))</f>
        <v>47.282000000000004</v>
      </c>
      <c r="G61" s="766">
        <f>5.6*4.88</f>
        <v>27.327999999999999</v>
      </c>
      <c r="H61" s="400">
        <v>44228</v>
      </c>
      <c r="I61" s="576">
        <f>9.4*Euro!B3</f>
        <v>47.282000000000004</v>
      </c>
      <c r="J61" s="59">
        <v>44645</v>
      </c>
      <c r="K61" s="63"/>
      <c r="L61" s="66"/>
      <c r="M61" s="70"/>
      <c r="N61" s="73"/>
      <c r="O61" s="77"/>
      <c r="P61" s="80"/>
      <c r="Q61" s="84"/>
      <c r="R61" s="87"/>
      <c r="S61" s="91"/>
      <c r="T61" s="94"/>
    </row>
    <row r="62" spans="2:20" x14ac:dyDescent="0.25">
      <c r="B62" s="41" t="s">
        <v>341</v>
      </c>
      <c r="C62" s="8" t="s">
        <v>0</v>
      </c>
      <c r="D62" s="8" t="s">
        <v>139</v>
      </c>
      <c r="E62" s="42">
        <v>1.228</v>
      </c>
      <c r="F62" s="279" cm="1">
        <f t="array" aca="1" ref="F62" ca="1">INDIRECT(ADDRESS(ROW(),MATCH(MAX(H62,J62,L62,N62,P62,R62,T62),G62:T62,0)-1+COLUMNS(A62:F62),4))</f>
        <v>29.8</v>
      </c>
      <c r="G62" s="766">
        <v>36</v>
      </c>
      <c r="H62" s="400">
        <v>44700</v>
      </c>
      <c r="I62" s="576">
        <v>29.8</v>
      </c>
      <c r="J62" s="59">
        <v>44932</v>
      </c>
      <c r="K62" s="63"/>
      <c r="L62" s="66"/>
      <c r="M62" s="70"/>
      <c r="N62" s="73"/>
      <c r="O62" s="77"/>
      <c r="P62" s="80"/>
      <c r="Q62" s="84"/>
      <c r="R62" s="87"/>
      <c r="S62" s="91"/>
      <c r="T62" s="94"/>
    </row>
    <row r="63" spans="2:20" x14ac:dyDescent="0.25">
      <c r="B63" s="41" t="s">
        <v>122</v>
      </c>
      <c r="C63" s="8" t="s">
        <v>0</v>
      </c>
      <c r="D63" s="8" t="s">
        <v>139</v>
      </c>
      <c r="E63" s="42">
        <v>0.998</v>
      </c>
      <c r="F63" s="279" cm="1">
        <f t="array" aca="1" ref="F63" ca="1">INDIRECT(ADDRESS(ROW(),MATCH(MAX(H63,J63,L63,N63,P63,R63,T63),G63:T63,0)-1+COLUMNS(A63:F63),4))</f>
        <v>29</v>
      </c>
      <c r="G63" s="766">
        <f>3.9*Euro!B3</f>
        <v>19.617000000000001</v>
      </c>
      <c r="H63" s="400">
        <v>44229</v>
      </c>
      <c r="I63" s="351">
        <f>4.8*Euro!B3</f>
        <v>24.144000000000002</v>
      </c>
      <c r="J63" s="59">
        <v>44391</v>
      </c>
      <c r="K63" s="63">
        <v>29</v>
      </c>
      <c r="L63" s="66">
        <v>44606</v>
      </c>
      <c r="M63" s="70"/>
      <c r="N63" s="73"/>
      <c r="O63" s="77"/>
      <c r="P63" s="80"/>
      <c r="Q63" s="84"/>
      <c r="R63" s="87"/>
      <c r="S63" s="91"/>
      <c r="T63" s="94"/>
    </row>
    <row r="64" spans="2:20" x14ac:dyDescent="0.25">
      <c r="B64" s="41" t="s">
        <v>97</v>
      </c>
      <c r="C64" s="8" t="s">
        <v>0</v>
      </c>
      <c r="D64" s="8" t="s">
        <v>139</v>
      </c>
      <c r="E64" s="42">
        <v>1.1339999999999999</v>
      </c>
      <c r="F64" s="279" cm="1">
        <f t="array" aca="1" ref="F64" ca="1">INDIRECT(ADDRESS(ROW(),MATCH(MAX(H64,J64,L64,N64,P64,R64,T64),G64:T64,0)-1+COLUMNS(A64:F64),4))</f>
        <v>35.21</v>
      </c>
      <c r="G64" s="766">
        <f>4.5*Euro!B3</f>
        <v>22.635000000000002</v>
      </c>
      <c r="H64" s="404" t="s">
        <v>91</v>
      </c>
      <c r="I64" s="579">
        <f>7*Euro!B3</f>
        <v>35.21</v>
      </c>
      <c r="J64" s="59">
        <v>44645</v>
      </c>
      <c r="K64" s="63"/>
      <c r="L64" s="66"/>
      <c r="M64" s="70"/>
      <c r="N64" s="73"/>
      <c r="O64" s="77"/>
      <c r="P64" s="80"/>
      <c r="Q64" s="84"/>
      <c r="R64" s="87"/>
      <c r="S64" s="91"/>
      <c r="T64" s="94"/>
    </row>
    <row r="65" spans="2:20" x14ac:dyDescent="0.25">
      <c r="B65" s="41" t="s">
        <v>98</v>
      </c>
      <c r="C65" s="8" t="s">
        <v>0</v>
      </c>
      <c r="D65" s="8" t="s">
        <v>138</v>
      </c>
      <c r="E65" s="42">
        <v>0.86899999999999999</v>
      </c>
      <c r="F65" s="279" cm="1">
        <f t="array" aca="1" ref="F65" ca="1">INDIRECT(ADDRESS(ROW(),MATCH(MAX(H65,J65,L65,N65,P65,R65,T65),G65:T65,0)-1+COLUMNS(A65:F65),4))</f>
        <v>28.922500000000003</v>
      </c>
      <c r="G65" s="766">
        <f>3.5*Euro!B3</f>
        <v>17.605</v>
      </c>
      <c r="H65" s="404" t="s">
        <v>91</v>
      </c>
      <c r="I65" s="579">
        <f>6*Euro!B3</f>
        <v>30.18</v>
      </c>
      <c r="J65" s="59">
        <v>44645</v>
      </c>
      <c r="K65" s="65">
        <f>5.75*Euro!B3</f>
        <v>28.922500000000003</v>
      </c>
      <c r="L65" s="66">
        <v>44734</v>
      </c>
      <c r="M65" s="70"/>
      <c r="N65" s="73"/>
      <c r="O65" s="77"/>
      <c r="P65" s="80"/>
      <c r="Q65" s="84"/>
      <c r="R65" s="87"/>
      <c r="S65" s="91"/>
      <c r="T65" s="94"/>
    </row>
    <row r="66" spans="2:20" x14ac:dyDescent="0.25">
      <c r="B66" s="41" t="s">
        <v>358</v>
      </c>
      <c r="C66" s="8" t="s">
        <v>0</v>
      </c>
      <c r="D66" s="349" t="s">
        <v>138</v>
      </c>
      <c r="E66" s="42">
        <v>0.75800000000000001</v>
      </c>
      <c r="F66" s="279" cm="1">
        <f t="array" aca="1" ref="F66" ca="1">INDIRECT(ADDRESS(ROW(),MATCH(MAX(H66,J66,L66,N66,P66,R66,T66),G66:T66,0)-1+COLUMNS(A66:F66),4))</f>
        <v>25.904500000000002</v>
      </c>
      <c r="G66" s="832">
        <f>5.15*Euro!B3</f>
        <v>25.904500000000002</v>
      </c>
      <c r="H66" s="622">
        <v>44792</v>
      </c>
      <c r="I66" s="579"/>
      <c r="J66" s="59"/>
      <c r="K66" s="63"/>
      <c r="L66" s="66"/>
      <c r="M66" s="70"/>
      <c r="N66" s="73"/>
      <c r="O66" s="77"/>
      <c r="P66" s="80"/>
      <c r="Q66" s="84"/>
      <c r="R66" s="87"/>
      <c r="S66" s="91"/>
      <c r="T66" s="94"/>
    </row>
    <row r="67" spans="2:20" ht="15.75" customHeight="1" x14ac:dyDescent="0.25">
      <c r="B67" s="41" t="s">
        <v>92</v>
      </c>
      <c r="C67" s="8" t="s">
        <v>0</v>
      </c>
      <c r="D67" s="349" t="s">
        <v>138</v>
      </c>
      <c r="E67" s="42">
        <v>0.53600000000000003</v>
      </c>
      <c r="F67" s="279" cm="1">
        <f t="array" aca="1" ref="F67" ca="1">INDIRECT(ADDRESS(ROW(),MATCH(MAX(H67,J67,L67,N67,P67,R67,T67),G67:T67,0)-1+COLUMNS(A67:F67),4))</f>
        <v>17.605</v>
      </c>
      <c r="G67" s="832">
        <f>13.6</f>
        <v>13.6</v>
      </c>
      <c r="H67" s="403">
        <v>44306</v>
      </c>
      <c r="I67" s="58">
        <f>3.45*Euro!B3</f>
        <v>17.3535</v>
      </c>
      <c r="J67" s="59">
        <v>44382</v>
      </c>
      <c r="K67" s="65">
        <f>3.5*Euro!B3</f>
        <v>17.605</v>
      </c>
      <c r="L67" s="66">
        <v>44532</v>
      </c>
      <c r="M67" s="70"/>
      <c r="N67" s="73"/>
      <c r="O67" s="77"/>
      <c r="P67" s="80"/>
      <c r="Q67" s="84"/>
      <c r="R67" s="87"/>
      <c r="S67" s="91"/>
      <c r="T67" s="94"/>
    </row>
    <row r="68" spans="2:20" ht="15.75" customHeight="1" thickBot="1" x14ac:dyDescent="0.3">
      <c r="B68" s="24" t="s">
        <v>92</v>
      </c>
      <c r="C68" s="23" t="s">
        <v>0</v>
      </c>
      <c r="D68" s="23" t="s">
        <v>139</v>
      </c>
      <c r="E68" s="869">
        <v>0.53600000000000003</v>
      </c>
      <c r="F68" s="757" cm="1">
        <f t="array" aca="1" ref="F68" ca="1">INDIRECT(ADDRESS(ROW(),MATCH(MAX(H68,J68,L68,N68,P68,R68,T68),G68:T68,0)-1+COLUMNS(A68:F68),4))</f>
        <v>17.32</v>
      </c>
      <c r="G68" s="833">
        <v>14.5</v>
      </c>
      <c r="H68" s="405">
        <v>44491</v>
      </c>
      <c r="I68" s="142">
        <v>17.32</v>
      </c>
      <c r="J68" s="60">
        <v>44606</v>
      </c>
      <c r="K68" s="143"/>
      <c r="L68" s="67"/>
      <c r="M68" s="144"/>
      <c r="N68" s="74"/>
      <c r="O68" s="145"/>
      <c r="P68" s="81"/>
      <c r="Q68" s="146"/>
      <c r="R68" s="88"/>
      <c r="S68" s="147"/>
      <c r="T68" s="96"/>
    </row>
    <row r="69" spans="2:20" ht="15.75" thickBot="1" x14ac:dyDescent="0.3"/>
    <row r="70" spans="2:20" ht="19.5" thickBot="1" x14ac:dyDescent="0.3">
      <c r="B70" s="967" t="s">
        <v>244</v>
      </c>
      <c r="C70" s="980"/>
      <c r="D70" s="980"/>
      <c r="E70" s="980"/>
      <c r="F70" s="968"/>
      <c r="G70" s="101"/>
      <c r="H70" s="101"/>
    </row>
    <row r="71" spans="2:20" x14ac:dyDescent="0.25">
      <c r="B71" s="17" t="s">
        <v>28</v>
      </c>
      <c r="C71" s="18" t="s">
        <v>29</v>
      </c>
      <c r="D71" s="18" t="s">
        <v>133</v>
      </c>
      <c r="E71" s="100" t="s">
        <v>177</v>
      </c>
      <c r="F71" s="105" t="s">
        <v>418</v>
      </c>
      <c r="G71" s="122" t="s">
        <v>178</v>
      </c>
      <c r="H71" s="950" t="s">
        <v>39</v>
      </c>
      <c r="I71" s="126" t="s">
        <v>178</v>
      </c>
      <c r="J71" s="942" t="s">
        <v>39</v>
      </c>
      <c r="K71" s="130" t="s">
        <v>178</v>
      </c>
      <c r="L71" s="944" t="s">
        <v>39</v>
      </c>
      <c r="M71" s="132" t="s">
        <v>178</v>
      </c>
      <c r="N71" s="931" t="s">
        <v>39</v>
      </c>
      <c r="O71" s="134" t="s">
        <v>178</v>
      </c>
      <c r="P71" s="929" t="s">
        <v>39</v>
      </c>
      <c r="Q71" s="136" t="s">
        <v>178</v>
      </c>
      <c r="R71" s="927" t="s">
        <v>39</v>
      </c>
      <c r="S71" s="138" t="s">
        <v>178</v>
      </c>
      <c r="T71" s="933" t="s">
        <v>39</v>
      </c>
    </row>
    <row r="72" spans="2:20" ht="15.75" thickBot="1" x14ac:dyDescent="0.3">
      <c r="B72" s="38"/>
      <c r="C72" s="39"/>
      <c r="D72" s="39"/>
      <c r="E72" s="40" t="s">
        <v>175</v>
      </c>
      <c r="F72" s="52" t="s">
        <v>419</v>
      </c>
      <c r="G72" s="123" t="s">
        <v>179</v>
      </c>
      <c r="H72" s="951"/>
      <c r="I72" s="127" t="s">
        <v>179</v>
      </c>
      <c r="J72" s="943"/>
      <c r="K72" s="131" t="s">
        <v>179</v>
      </c>
      <c r="L72" s="945"/>
      <c r="M72" s="133" t="s">
        <v>179</v>
      </c>
      <c r="N72" s="932"/>
      <c r="O72" s="135" t="s">
        <v>179</v>
      </c>
      <c r="P72" s="930"/>
      <c r="Q72" s="137" t="s">
        <v>179</v>
      </c>
      <c r="R72" s="928"/>
      <c r="S72" s="139" t="s">
        <v>179</v>
      </c>
      <c r="T72" s="934"/>
    </row>
    <row r="73" spans="2:20" ht="15.75" thickBot="1" x14ac:dyDescent="0.3">
      <c r="B73" s="106" t="s">
        <v>74</v>
      </c>
      <c r="C73" s="107" t="s">
        <v>0</v>
      </c>
      <c r="D73" s="761"/>
      <c r="E73" s="778">
        <v>1.9830000000000001</v>
      </c>
      <c r="F73" s="757" cm="1">
        <f t="array" aca="1" ref="F73" ca="1">INDIRECT(ADDRESS(ROW(),MATCH(MAX(H73,J73,L73,N73,P73,R73,T73),G73:T73,0)-1+COLUMNS(A73:F73),4))</f>
        <v>50.7</v>
      </c>
      <c r="G73" s="108">
        <v>50.7</v>
      </c>
      <c r="H73" s="109">
        <v>43929</v>
      </c>
      <c r="I73" s="110"/>
      <c r="J73" s="111"/>
      <c r="K73" s="112"/>
      <c r="L73" s="113"/>
      <c r="M73" s="114"/>
      <c r="N73" s="115"/>
      <c r="O73" s="116"/>
      <c r="P73" s="117"/>
      <c r="Q73" s="118"/>
      <c r="R73" s="119"/>
      <c r="S73" s="120"/>
      <c r="T73" s="121"/>
    </row>
    <row r="74" spans="2:20" ht="15.75" thickBot="1" x14ac:dyDescent="0.3"/>
    <row r="75" spans="2:20" ht="15.75" thickBot="1" x14ac:dyDescent="0.3">
      <c r="B75" s="866"/>
      <c r="C75" s="867"/>
      <c r="D75" s="860" t="s">
        <v>432</v>
      </c>
      <c r="E75" s="861" t="s">
        <v>29</v>
      </c>
      <c r="F75" s="861" t="s">
        <v>426</v>
      </c>
      <c r="G75" s="861" t="s">
        <v>427</v>
      </c>
      <c r="H75" s="862" t="s">
        <v>428</v>
      </c>
      <c r="I75" s="863" t="s">
        <v>429</v>
      </c>
      <c r="J75" s="863" t="s">
        <v>430</v>
      </c>
    </row>
    <row r="76" spans="2:20" ht="16.5" thickBot="1" x14ac:dyDescent="0.3">
      <c r="B76" s="935" t="s">
        <v>424</v>
      </c>
      <c r="C76" s="936"/>
      <c r="D76" s="865" t="s">
        <v>497</v>
      </c>
      <c r="E76" s="695" t="s">
        <v>0</v>
      </c>
      <c r="F76" s="859">
        <f>(2.11*1+0.395*1+1.091*1)*1.17666666666667</f>
        <v>4.2312933333333458</v>
      </c>
      <c r="G76" s="859">
        <v>8.1999999999999993</v>
      </c>
      <c r="H76" s="864">
        <f>G76*F76</f>
        <v>34.69660533333343</v>
      </c>
      <c r="I76" s="864">
        <f>(2.11*1+0.395*1+1.091*1)*1.993</f>
        <v>7.1668280000000006</v>
      </c>
      <c r="J76" s="864">
        <f>(3.14*0.0424*(2.11*1+0.395*1+1.091*1))+3.14*(0.0212*0.0212-0.0092*0.0092)*2*3</f>
        <v>0.48562988800000001</v>
      </c>
    </row>
    <row r="77" spans="2:20" x14ac:dyDescent="0.25">
      <c r="G77" s="548"/>
    </row>
  </sheetData>
  <mergeCells count="34">
    <mergeCell ref="S3:S4"/>
    <mergeCell ref="B2:D2"/>
    <mergeCell ref="B52:F52"/>
    <mergeCell ref="J53:J54"/>
    <mergeCell ref="L53:L54"/>
    <mergeCell ref="N53:N54"/>
    <mergeCell ref="P53:P54"/>
    <mergeCell ref="R53:R54"/>
    <mergeCell ref="B3:B4"/>
    <mergeCell ref="C3:C4"/>
    <mergeCell ref="G3:G4"/>
    <mergeCell ref="I3:I4"/>
    <mergeCell ref="K3:K4"/>
    <mergeCell ref="M3:M4"/>
    <mergeCell ref="O3:O4"/>
    <mergeCell ref="Q3:Q4"/>
    <mergeCell ref="T53:T54"/>
    <mergeCell ref="B70:F70"/>
    <mergeCell ref="J71:J72"/>
    <mergeCell ref="L71:L72"/>
    <mergeCell ref="N71:N72"/>
    <mergeCell ref="P71:P72"/>
    <mergeCell ref="R71:R72"/>
    <mergeCell ref="T71:T72"/>
    <mergeCell ref="H53:H54"/>
    <mergeCell ref="H71:H72"/>
    <mergeCell ref="B76:C76"/>
    <mergeCell ref="O44:O45"/>
    <mergeCell ref="Q44:Q45"/>
    <mergeCell ref="S44:S45"/>
    <mergeCell ref="G44:G45"/>
    <mergeCell ref="I44:I45"/>
    <mergeCell ref="K44:K45"/>
    <mergeCell ref="M44:M45"/>
  </mergeCells>
  <hyperlinks>
    <hyperlink ref="B1" location="CUPRINS!A1" display="CUPRINS" xr:uid="{D737C3D6-88F6-473C-9604-E9368665733A}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61018-242E-4D2F-895E-2143AD17EFC6}">
  <sheetPr codeName="Sheet2"/>
  <dimension ref="A1:S34"/>
  <sheetViews>
    <sheetView zoomScaleNormal="100" workbookViewId="0"/>
  </sheetViews>
  <sheetFormatPr defaultRowHeight="15" x14ac:dyDescent="0.25"/>
  <cols>
    <col min="2" max="2" width="16.5703125" customWidth="1"/>
    <col min="3" max="3" width="8.28515625" customWidth="1"/>
    <col min="4" max="5" width="25.140625" customWidth="1"/>
    <col min="6" max="6" width="13.28515625" customWidth="1"/>
    <col min="7" max="7" width="15" customWidth="1"/>
    <col min="8" max="8" width="12.85546875" customWidth="1"/>
    <col min="9" max="9" width="13.85546875" customWidth="1"/>
    <col min="10" max="10" width="13.28515625" customWidth="1"/>
    <col min="11" max="11" width="14.42578125" customWidth="1"/>
    <col min="12" max="12" width="14.140625" customWidth="1"/>
    <col min="13" max="13" width="12" customWidth="1"/>
    <col min="14" max="14" width="13.140625" customWidth="1"/>
    <col min="15" max="15" width="11.42578125" customWidth="1"/>
    <col min="16" max="16" width="13.85546875" customWidth="1"/>
    <col min="17" max="17" width="12.140625" customWidth="1"/>
    <col min="18" max="18" width="14.140625" customWidth="1"/>
    <col min="19" max="19" width="12" customWidth="1"/>
  </cols>
  <sheetData>
    <row r="1" spans="1:19" ht="15.75" thickBot="1" x14ac:dyDescent="0.3">
      <c r="A1" s="445" t="s">
        <v>199</v>
      </c>
    </row>
    <row r="2" spans="1:19" ht="15.75" thickBot="1" x14ac:dyDescent="0.3">
      <c r="B2" s="967" t="s">
        <v>233</v>
      </c>
      <c r="C2" s="980"/>
      <c r="D2" s="968"/>
      <c r="E2" s="43"/>
      <c r="F2" s="101"/>
      <c r="G2" s="101"/>
    </row>
    <row r="3" spans="1:19" x14ac:dyDescent="0.25">
      <c r="B3" s="946" t="s">
        <v>28</v>
      </c>
      <c r="C3" s="948" t="s">
        <v>29</v>
      </c>
      <c r="D3" s="105" t="s">
        <v>176</v>
      </c>
      <c r="E3" s="769" t="s">
        <v>418</v>
      </c>
      <c r="F3" s="122" t="s">
        <v>178</v>
      </c>
      <c r="G3" s="950" t="s">
        <v>39</v>
      </c>
      <c r="H3" s="126" t="s">
        <v>178</v>
      </c>
      <c r="I3" s="942" t="s">
        <v>39</v>
      </c>
      <c r="J3" s="130" t="s">
        <v>178</v>
      </c>
      <c r="K3" s="944" t="s">
        <v>39</v>
      </c>
      <c r="L3" s="132" t="s">
        <v>178</v>
      </c>
      <c r="M3" s="931" t="s">
        <v>39</v>
      </c>
      <c r="N3" s="134" t="s">
        <v>178</v>
      </c>
      <c r="O3" s="929" t="s">
        <v>39</v>
      </c>
      <c r="P3" s="136" t="s">
        <v>178</v>
      </c>
      <c r="Q3" s="927" t="s">
        <v>39</v>
      </c>
      <c r="R3" s="138" t="s">
        <v>178</v>
      </c>
      <c r="S3" s="933" t="s">
        <v>39</v>
      </c>
    </row>
    <row r="4" spans="1:19" ht="15.75" thickBot="1" x14ac:dyDescent="0.3">
      <c r="B4" s="947"/>
      <c r="C4" s="949"/>
      <c r="D4" s="52" t="s">
        <v>175</v>
      </c>
      <c r="E4" s="788" t="s">
        <v>419</v>
      </c>
      <c r="F4" s="123" t="s">
        <v>179</v>
      </c>
      <c r="G4" s="951"/>
      <c r="H4" s="127" t="s">
        <v>179</v>
      </c>
      <c r="I4" s="943"/>
      <c r="J4" s="131" t="s">
        <v>179</v>
      </c>
      <c r="K4" s="945"/>
      <c r="L4" s="133" t="s">
        <v>179</v>
      </c>
      <c r="M4" s="932"/>
      <c r="N4" s="135" t="s">
        <v>179</v>
      </c>
      <c r="O4" s="930"/>
      <c r="P4" s="137" t="s">
        <v>179</v>
      </c>
      <c r="Q4" s="928"/>
      <c r="R4" s="139" t="s">
        <v>179</v>
      </c>
      <c r="S4" s="934"/>
    </row>
    <row r="5" spans="1:19" x14ac:dyDescent="0.25">
      <c r="B5" s="36" t="s">
        <v>112</v>
      </c>
      <c r="C5" s="35" t="s">
        <v>0</v>
      </c>
      <c r="D5" s="881">
        <v>23.11</v>
      </c>
      <c r="E5" s="732" cm="1">
        <f t="array" aca="1" ref="E5" ca="1">INDIRECT(ADDRESS(ROW(),MATCH(MAX(G5,I5,K5,M5,O5,Q5,S5),F5:S5,0)-1+COLUMNS(A5:E5),4))</f>
        <v>95</v>
      </c>
      <c r="F5" s="835">
        <v>95</v>
      </c>
      <c r="G5" s="140">
        <v>44208</v>
      </c>
      <c r="H5" s="54"/>
      <c r="I5" s="55"/>
      <c r="J5" s="61"/>
      <c r="K5" s="62"/>
      <c r="L5" s="68"/>
      <c r="M5" s="69"/>
      <c r="N5" s="75"/>
      <c r="O5" s="76"/>
      <c r="P5" s="82"/>
      <c r="Q5" s="83"/>
      <c r="R5" s="89"/>
      <c r="S5" s="90"/>
    </row>
    <row r="6" spans="1:19" x14ac:dyDescent="0.25">
      <c r="B6" s="41" t="s">
        <v>24</v>
      </c>
      <c r="C6" s="8" t="s">
        <v>0</v>
      </c>
      <c r="D6" s="882">
        <v>17.71</v>
      </c>
      <c r="E6" s="733" cm="1">
        <f t="array" aca="1" ref="E6" ca="1">INDIRECT(ADDRESS(ROW(),MATCH(MAX(G6,I6,K6,M6,O6,Q6,S6),F6:S6,0)-1+COLUMNS(A6:E6),4))</f>
        <v>122</v>
      </c>
      <c r="F6" s="766">
        <v>122</v>
      </c>
      <c r="G6" s="102">
        <v>44645</v>
      </c>
      <c r="H6" s="56"/>
      <c r="I6" s="57"/>
      <c r="J6" s="63"/>
      <c r="K6" s="64"/>
      <c r="L6" s="70"/>
      <c r="M6" s="71"/>
      <c r="N6" s="77"/>
      <c r="O6" s="78"/>
      <c r="P6" s="84"/>
      <c r="Q6" s="85"/>
      <c r="R6" s="91"/>
      <c r="S6" s="92"/>
    </row>
    <row r="7" spans="1:19" x14ac:dyDescent="0.25">
      <c r="B7" s="41" t="s">
        <v>100</v>
      </c>
      <c r="C7" s="8" t="s">
        <v>0</v>
      </c>
      <c r="D7" s="883">
        <v>14.914999999999999</v>
      </c>
      <c r="E7" s="733" cm="1">
        <f t="array" aca="1" ref="E7" ca="1">INDIRECT(ADDRESS(ROW(),MATCH(MAX(G7,I7,K7,M7,O7,Q7,S7),F7:S7,0)-1+COLUMNS(A7:E7),4))</f>
        <v>56.3</v>
      </c>
      <c r="F7" s="766">
        <v>67</v>
      </c>
      <c r="G7" s="102">
        <v>44853</v>
      </c>
      <c r="H7" s="56">
        <v>60</v>
      </c>
      <c r="I7" s="59">
        <v>44889</v>
      </c>
      <c r="J7" s="63">
        <v>62.8</v>
      </c>
      <c r="K7" s="66">
        <v>45002</v>
      </c>
      <c r="L7" s="70">
        <v>64.2</v>
      </c>
      <c r="M7" s="73">
        <v>45049</v>
      </c>
      <c r="N7" s="77">
        <v>60</v>
      </c>
      <c r="O7" s="80">
        <v>45077</v>
      </c>
      <c r="P7" s="84">
        <v>58.6</v>
      </c>
      <c r="Q7" s="87">
        <v>45092</v>
      </c>
      <c r="R7" s="91">
        <v>56.3</v>
      </c>
      <c r="S7" s="94">
        <v>45156</v>
      </c>
    </row>
    <row r="8" spans="1:19" x14ac:dyDescent="0.25">
      <c r="B8" s="41" t="s">
        <v>36</v>
      </c>
      <c r="C8" s="8" t="s">
        <v>0</v>
      </c>
      <c r="D8" s="882">
        <v>18.085999999999999</v>
      </c>
      <c r="E8" s="733" cm="1">
        <f t="array" aca="1" ref="E8" ca="1">INDIRECT(ADDRESS(ROW(),MATCH(MAX(G8,I8,K8,M8,O8,Q8,S8),F8:S8,0)-1+COLUMNS(A8:E8),4))</f>
        <v>59.683799999999991</v>
      </c>
      <c r="F8" s="836">
        <f>3.3*18.086</f>
        <v>59.683799999999991</v>
      </c>
      <c r="G8" s="102">
        <v>44147</v>
      </c>
      <c r="H8" s="56"/>
      <c r="I8" s="59"/>
      <c r="J8" s="63"/>
      <c r="K8" s="66"/>
      <c r="L8" s="70"/>
      <c r="M8" s="73"/>
      <c r="N8" s="77"/>
      <c r="O8" s="80"/>
      <c r="P8" s="84"/>
      <c r="Q8" s="87"/>
      <c r="R8" s="91"/>
      <c r="S8" s="94"/>
    </row>
    <row r="9" spans="1:19" x14ac:dyDescent="0.25">
      <c r="B9" s="41" t="s">
        <v>448</v>
      </c>
      <c r="C9" s="8" t="s">
        <v>0</v>
      </c>
      <c r="D9" s="882">
        <v>13.942</v>
      </c>
      <c r="E9" s="733" cm="1">
        <f t="array" aca="1" ref="E9" ca="1">INDIRECT(ADDRESS(ROW(),MATCH(MAX(G9,I9,K9,M9,O9,Q9,S9),F9:S9,0)-1+COLUMNS(A9:E9),4))</f>
        <v>70</v>
      </c>
      <c r="F9" s="767">
        <v>70</v>
      </c>
      <c r="G9" s="102">
        <v>44987</v>
      </c>
      <c r="H9" s="56"/>
      <c r="I9" s="59"/>
      <c r="J9" s="63"/>
      <c r="K9" s="66"/>
      <c r="L9" s="70"/>
      <c r="M9" s="73"/>
      <c r="N9" s="77"/>
      <c r="O9" s="80"/>
      <c r="P9" s="84"/>
      <c r="Q9" s="87"/>
      <c r="R9" s="91"/>
      <c r="S9" s="94"/>
    </row>
    <row r="10" spans="1:19" x14ac:dyDescent="0.25">
      <c r="B10" s="41" t="s">
        <v>44</v>
      </c>
      <c r="C10" s="8" t="s">
        <v>0</v>
      </c>
      <c r="D10" s="349">
        <v>11.775</v>
      </c>
      <c r="E10" s="733" cm="1">
        <f t="array" aca="1" ref="E10" ca="1">INDIRECT(ADDRESS(ROW(),MATCH(MAX(G10,I10,K10,M10,O10,Q10,S10),F10:S10,0)-1+COLUMNS(A10:E10),4))</f>
        <v>50</v>
      </c>
      <c r="F10" s="766">
        <v>49.93</v>
      </c>
      <c r="G10" s="102">
        <v>44309</v>
      </c>
      <c r="H10" s="56">
        <v>64</v>
      </c>
      <c r="I10" s="59">
        <v>44480</v>
      </c>
      <c r="J10" s="448">
        <v>65.715000000000003</v>
      </c>
      <c r="K10" s="66">
        <v>44634</v>
      </c>
      <c r="L10" s="70">
        <v>50</v>
      </c>
      <c r="M10" s="73">
        <v>45051</v>
      </c>
      <c r="N10" s="77"/>
      <c r="O10" s="80"/>
      <c r="P10" s="84"/>
      <c r="Q10" s="87"/>
      <c r="R10" s="91"/>
      <c r="S10" s="94"/>
    </row>
    <row r="11" spans="1:19" x14ac:dyDescent="0.25">
      <c r="B11" s="41" t="s">
        <v>152</v>
      </c>
      <c r="C11" s="8" t="s">
        <v>0</v>
      </c>
      <c r="D11" s="349">
        <v>10.205</v>
      </c>
      <c r="E11" s="733" cm="1">
        <f t="array" aca="1" ref="E11" ca="1">INDIRECT(ADDRESS(ROW(),MATCH(MAX(G11,I11,K11,M11,O11,Q11,S11),F11:S11,0)-1+COLUMNS(A11:E11),4))</f>
        <v>40.9</v>
      </c>
      <c r="F11" s="766">
        <v>40.9</v>
      </c>
      <c r="G11" s="102">
        <v>44298</v>
      </c>
      <c r="H11" s="56"/>
      <c r="I11" s="59"/>
      <c r="J11" s="63"/>
      <c r="K11" s="66"/>
      <c r="L11" s="70"/>
      <c r="M11" s="73"/>
      <c r="N11" s="77"/>
      <c r="O11" s="80"/>
      <c r="P11" s="84"/>
      <c r="Q11" s="87"/>
      <c r="R11" s="91"/>
      <c r="S11" s="94"/>
    </row>
    <row r="12" spans="1:19" x14ac:dyDescent="0.25">
      <c r="B12" s="41" t="s">
        <v>117</v>
      </c>
      <c r="C12" s="8" t="s">
        <v>0</v>
      </c>
      <c r="D12" s="349">
        <v>8.2899999999999991</v>
      </c>
      <c r="E12" s="733" cm="1">
        <f t="array" aca="1" ref="E12" ca="1">INDIRECT(ADDRESS(ROW(),MATCH(MAX(G12,I12,K12,M12,O12,Q12,S12),F12:S12,0)-1+COLUMNS(A12:E12),4))</f>
        <v>24</v>
      </c>
      <c r="F12" s="766">
        <v>24</v>
      </c>
      <c r="G12" s="102">
        <v>44223</v>
      </c>
      <c r="H12" s="56"/>
      <c r="I12" s="59"/>
      <c r="J12" s="63"/>
      <c r="K12" s="66"/>
      <c r="L12" s="70"/>
      <c r="M12" s="73"/>
      <c r="N12" s="77"/>
      <c r="O12" s="80"/>
      <c r="P12" s="84"/>
      <c r="Q12" s="87"/>
      <c r="R12" s="91"/>
      <c r="S12" s="94"/>
    </row>
    <row r="13" spans="1:19" x14ac:dyDescent="0.25">
      <c r="B13" s="41" t="s">
        <v>349</v>
      </c>
      <c r="C13" s="8" t="s">
        <v>0</v>
      </c>
      <c r="D13" s="349">
        <v>7.0339999999999998</v>
      </c>
      <c r="E13" s="733" cm="1">
        <f t="array" aca="1" ref="E13" ca="1">INDIRECT(ADDRESS(ROW(),MATCH(MAX(G13,I13,K13,M13,O13,Q13,S13),F13:S13,0)-1+COLUMNS(A13:E13),4))</f>
        <v>30.1</v>
      </c>
      <c r="F13" s="766">
        <v>39.9</v>
      </c>
      <c r="G13" s="102">
        <v>44705</v>
      </c>
      <c r="H13" s="56">
        <v>31</v>
      </c>
      <c r="I13" s="59">
        <v>44853</v>
      </c>
      <c r="J13" s="63">
        <v>30.1</v>
      </c>
      <c r="K13" s="66">
        <v>45019</v>
      </c>
      <c r="L13" s="70"/>
      <c r="M13" s="73"/>
      <c r="N13" s="77"/>
      <c r="O13" s="80"/>
      <c r="P13" s="84"/>
      <c r="Q13" s="87"/>
      <c r="R13" s="91"/>
      <c r="S13" s="94"/>
    </row>
    <row r="14" spans="1:19" x14ac:dyDescent="0.25">
      <c r="B14" s="41" t="s">
        <v>164</v>
      </c>
      <c r="C14" s="8" t="s">
        <v>0</v>
      </c>
      <c r="D14" s="349">
        <v>5.37</v>
      </c>
      <c r="E14" s="733" cm="1">
        <f t="array" aca="1" ref="E14" ca="1">INDIRECT(ADDRESS(ROW(),MATCH(MAX(G14,I14,K14,M14,O14,Q14,S14),F14:S14,0)-1+COLUMNS(A14:E14),4))</f>
        <v>22</v>
      </c>
      <c r="F14" s="766">
        <v>33</v>
      </c>
      <c r="G14" s="102">
        <v>44335</v>
      </c>
      <c r="H14" s="56">
        <v>31.2</v>
      </c>
      <c r="I14" s="59">
        <v>44705</v>
      </c>
      <c r="J14" s="63">
        <v>22.5</v>
      </c>
      <c r="K14" s="66">
        <v>44880</v>
      </c>
      <c r="L14" s="70">
        <v>22</v>
      </c>
      <c r="M14" s="73">
        <v>44967</v>
      </c>
      <c r="N14" s="77"/>
      <c r="O14" s="80"/>
      <c r="P14" s="84"/>
      <c r="Q14" s="87"/>
      <c r="R14" s="91"/>
      <c r="S14" s="94"/>
    </row>
    <row r="15" spans="1:19" x14ac:dyDescent="0.25">
      <c r="B15" s="41" t="s">
        <v>165</v>
      </c>
      <c r="C15" s="8" t="s">
        <v>0</v>
      </c>
      <c r="D15" s="349">
        <v>4.43</v>
      </c>
      <c r="E15" s="733" cm="1">
        <f t="array" aca="1" ref="E15" ca="1">INDIRECT(ADDRESS(ROW(),MATCH(MAX(G15,I15,K15,M15,O15,Q15,S15),F15:S15,0)-1+COLUMNS(A15:E15),4))</f>
        <v>19.399999999999999</v>
      </c>
      <c r="F15" s="766">
        <v>22.4</v>
      </c>
      <c r="G15" s="102">
        <v>44329</v>
      </c>
      <c r="H15" s="56">
        <v>19.399999999999999</v>
      </c>
      <c r="I15" s="59">
        <v>44874</v>
      </c>
      <c r="J15" s="63"/>
      <c r="K15" s="66"/>
      <c r="L15" s="70"/>
      <c r="M15" s="73"/>
      <c r="N15" s="77"/>
      <c r="O15" s="80"/>
      <c r="P15" s="84"/>
      <c r="Q15" s="87"/>
      <c r="R15" s="91"/>
      <c r="S15" s="94"/>
    </row>
    <row r="16" spans="1:19" x14ac:dyDescent="0.25">
      <c r="B16" s="41" t="s">
        <v>32</v>
      </c>
      <c r="C16" s="8" t="s">
        <v>0</v>
      </c>
      <c r="D16" s="349">
        <v>3.0139999999999998</v>
      </c>
      <c r="E16" s="733" cm="1">
        <f t="array" aca="1" ref="E16" ca="1">INDIRECT(ADDRESS(ROW(),MATCH(MAX(G16,I16,K16,M16,O16,Q16,S16),F16:S16,0)-1+COLUMNS(A16:E16),4))</f>
        <v>17.600000000000001</v>
      </c>
      <c r="F16" s="766">
        <v>17.600000000000001</v>
      </c>
      <c r="G16" s="102">
        <v>44431</v>
      </c>
      <c r="H16" s="56"/>
      <c r="I16" s="59"/>
      <c r="J16" s="63"/>
      <c r="K16" s="66"/>
      <c r="L16" s="70"/>
      <c r="M16" s="73"/>
      <c r="N16" s="77"/>
      <c r="O16" s="80"/>
      <c r="P16" s="84"/>
      <c r="Q16" s="87"/>
      <c r="R16" s="91"/>
      <c r="S16" s="94"/>
    </row>
    <row r="17" spans="2:19" x14ac:dyDescent="0.25">
      <c r="B17" s="41" t="s">
        <v>254</v>
      </c>
      <c r="C17" s="8" t="s">
        <v>0</v>
      </c>
      <c r="D17" s="349">
        <v>7.0650000000000004</v>
      </c>
      <c r="E17" s="733" cm="1">
        <f t="array" aca="1" ref="E17" ca="1">INDIRECT(ADDRESS(ROW(),MATCH(MAX(G17,I17,K17,M17,O17,Q17,S17),F17:S17,0)-1+COLUMNS(A17:E17),4))</f>
        <v>0</v>
      </c>
      <c r="F17" s="766"/>
      <c r="G17" s="102">
        <v>44459</v>
      </c>
      <c r="H17" s="56"/>
      <c r="I17" s="59"/>
      <c r="J17" s="63"/>
      <c r="K17" s="66"/>
      <c r="L17" s="70"/>
      <c r="M17" s="73"/>
      <c r="N17" s="77"/>
      <c r="O17" s="80"/>
      <c r="P17" s="84"/>
      <c r="Q17" s="87"/>
      <c r="R17" s="91"/>
      <c r="S17" s="94"/>
    </row>
    <row r="18" spans="2:19" x14ac:dyDescent="0.25">
      <c r="B18" s="41" t="s">
        <v>113</v>
      </c>
      <c r="C18" s="8" t="s">
        <v>0</v>
      </c>
      <c r="D18" s="882">
        <v>5.7779999999999996</v>
      </c>
      <c r="E18" s="733" cm="1">
        <f t="array" aca="1" ref="E18" ca="1">INDIRECT(ADDRESS(ROW(),MATCH(MAX(G18,I18,K18,M18,O18,Q18,S18),F18:S18,0)-1+COLUMNS(A18:E18),4))</f>
        <v>21.8</v>
      </c>
      <c r="F18" s="766">
        <v>23.3</v>
      </c>
      <c r="G18" s="102">
        <v>44977</v>
      </c>
      <c r="H18" s="56">
        <v>24</v>
      </c>
      <c r="I18" s="59">
        <v>44988</v>
      </c>
      <c r="J18" s="63">
        <v>24.6</v>
      </c>
      <c r="K18" s="66">
        <v>44998</v>
      </c>
      <c r="L18" s="70">
        <v>25</v>
      </c>
      <c r="M18" s="73">
        <v>45037</v>
      </c>
      <c r="N18" s="77">
        <v>23</v>
      </c>
      <c r="O18" s="80">
        <v>45085</v>
      </c>
      <c r="P18" s="84">
        <v>21.75</v>
      </c>
      <c r="Q18" s="87">
        <v>45167</v>
      </c>
      <c r="R18" s="91">
        <v>21.8</v>
      </c>
      <c r="S18" s="94">
        <v>45169</v>
      </c>
    </row>
    <row r="19" spans="2:19" x14ac:dyDescent="0.25">
      <c r="B19" s="41" t="s">
        <v>33</v>
      </c>
      <c r="C19" s="8" t="s">
        <v>0</v>
      </c>
      <c r="D19" s="882">
        <v>4.4269999999999996</v>
      </c>
      <c r="E19" s="733" cm="1">
        <f t="array" aca="1" ref="E19" ca="1">INDIRECT(ADDRESS(ROW(),MATCH(MAX(G19,I19,K19,M19,O19,Q19,S19),F19:S19,0)-1+COLUMNS(A19:E19),4))</f>
        <v>19</v>
      </c>
      <c r="F19" s="766">
        <v>34.799999999999997</v>
      </c>
      <c r="G19" s="102">
        <v>44329</v>
      </c>
      <c r="H19" s="56">
        <v>25.28</v>
      </c>
      <c r="I19" s="59">
        <v>44431</v>
      </c>
      <c r="J19" s="63">
        <v>24.5</v>
      </c>
      <c r="K19" s="66">
        <v>44438</v>
      </c>
      <c r="L19" s="70">
        <v>24.5</v>
      </c>
      <c r="M19" s="73">
        <v>44683</v>
      </c>
      <c r="N19" s="77">
        <v>19</v>
      </c>
      <c r="O19" s="80">
        <v>45007</v>
      </c>
      <c r="P19" s="84"/>
      <c r="Q19" s="87"/>
      <c r="R19" s="91"/>
      <c r="S19" s="94"/>
    </row>
    <row r="20" spans="2:19" x14ac:dyDescent="0.25">
      <c r="B20" s="41" t="s">
        <v>57</v>
      </c>
      <c r="C20" s="8" t="s">
        <v>0</v>
      </c>
      <c r="D20" s="349">
        <v>4.5220000000000002</v>
      </c>
      <c r="E20" s="733" cm="1">
        <f t="array" aca="1" ref="E20" ca="1">INDIRECT(ADDRESS(ROW(),MATCH(MAX(G20,I20,K20,M20,O20,Q20,S20),F20:S20,0)-1+COLUMNS(A20:E20),4))</f>
        <v>17.5</v>
      </c>
      <c r="F20" s="766">
        <v>18</v>
      </c>
      <c r="G20" s="102">
        <v>44894</v>
      </c>
      <c r="H20" s="56">
        <v>18.2</v>
      </c>
      <c r="I20" s="59">
        <v>44930</v>
      </c>
      <c r="J20" s="63">
        <v>17.8</v>
      </c>
      <c r="K20" s="66">
        <v>44966</v>
      </c>
      <c r="L20" s="70">
        <v>18</v>
      </c>
      <c r="M20" s="73">
        <v>44988</v>
      </c>
      <c r="N20" s="77">
        <v>17.899999999999999</v>
      </c>
      <c r="O20" s="80">
        <v>45002</v>
      </c>
      <c r="P20" s="84">
        <v>18.3</v>
      </c>
      <c r="Q20" s="87">
        <v>45069</v>
      </c>
      <c r="R20" s="91">
        <v>17.5</v>
      </c>
      <c r="S20" s="94">
        <v>45148</v>
      </c>
    </row>
    <row r="21" spans="2:19" x14ac:dyDescent="0.25">
      <c r="B21" s="41" t="s">
        <v>69</v>
      </c>
      <c r="C21" s="8" t="s">
        <v>0</v>
      </c>
      <c r="D21" s="349">
        <v>3.4849999999999999</v>
      </c>
      <c r="E21" s="733" cm="1">
        <f t="array" aca="1" ref="E21" ca="1">INDIRECT(ADDRESS(ROW(),MATCH(MAX(G21,I21,K21,M21,O21,Q21,S21),F21:S21,0)-1+COLUMNS(A21:E21),4))</f>
        <v>14</v>
      </c>
      <c r="F21" s="766">
        <v>8.5</v>
      </c>
      <c r="G21" s="102">
        <v>43895</v>
      </c>
      <c r="H21" s="56">
        <v>16.71</v>
      </c>
      <c r="I21" s="59">
        <v>44621</v>
      </c>
      <c r="J21" s="448">
        <v>19.003</v>
      </c>
      <c r="K21" s="66">
        <v>44634</v>
      </c>
      <c r="L21" s="70">
        <v>14</v>
      </c>
      <c r="M21" s="73">
        <v>44889</v>
      </c>
      <c r="N21" s="77"/>
      <c r="O21" s="80"/>
      <c r="P21" s="84"/>
      <c r="Q21" s="87"/>
      <c r="R21" s="91"/>
      <c r="S21" s="94"/>
    </row>
    <row r="22" spans="2:19" x14ac:dyDescent="0.25">
      <c r="B22" s="12" t="s">
        <v>42</v>
      </c>
      <c r="C22" s="33" t="s">
        <v>0</v>
      </c>
      <c r="D22" s="414">
        <v>2.3860000000000001</v>
      </c>
      <c r="E22" s="733" cm="1">
        <f t="array" aca="1" ref="E22" ca="1">INDIRECT(ADDRESS(ROW(),MATCH(MAX(G22,I22,K22,M22,O22,Q22,S22),F22:S22,0)-1+COLUMNS(A22:E22),4))</f>
        <v>6.3</v>
      </c>
      <c r="F22" s="773">
        <v>6.3</v>
      </c>
      <c r="G22" s="432">
        <v>43843</v>
      </c>
      <c r="H22" s="56"/>
      <c r="I22" s="59"/>
      <c r="J22" s="63"/>
      <c r="K22" s="66"/>
      <c r="L22" s="70"/>
      <c r="M22" s="73"/>
      <c r="N22" s="77"/>
      <c r="O22" s="80"/>
      <c r="P22" s="84"/>
      <c r="Q22" s="87"/>
      <c r="R22" s="91"/>
      <c r="S22" s="94"/>
    </row>
    <row r="23" spans="2:19" x14ac:dyDescent="0.25">
      <c r="B23" s="12" t="s">
        <v>367</v>
      </c>
      <c r="C23" s="33" t="s">
        <v>0</v>
      </c>
      <c r="D23" s="414">
        <v>1.758</v>
      </c>
      <c r="E23" s="733" cm="1">
        <f t="array" aca="1" ref="E23" ca="1">INDIRECT(ADDRESS(ROW(),MATCH(MAX(G23,I23,K23,M23,O23,Q23,S23),F23:S23,0)-1+COLUMNS(A23:E23),4))</f>
        <v>7.9</v>
      </c>
      <c r="F23" s="773">
        <v>8.1999999999999993</v>
      </c>
      <c r="G23" s="432">
        <v>44741</v>
      </c>
      <c r="H23" s="56">
        <v>7.9</v>
      </c>
      <c r="I23" s="59">
        <v>45008</v>
      </c>
      <c r="J23" s="63"/>
      <c r="K23" s="66"/>
      <c r="L23" s="70"/>
      <c r="M23" s="73"/>
      <c r="N23" s="77"/>
      <c r="O23" s="80"/>
      <c r="P23" s="84"/>
      <c r="Q23" s="87"/>
      <c r="R23" s="91"/>
      <c r="S23" s="94"/>
    </row>
    <row r="24" spans="2:19" x14ac:dyDescent="0.25">
      <c r="B24" s="41" t="s">
        <v>362</v>
      </c>
      <c r="C24" s="33" t="s">
        <v>0</v>
      </c>
      <c r="D24" s="414">
        <v>1.3420000000000001</v>
      </c>
      <c r="E24" s="733" cm="1">
        <f t="array" aca="1" ref="E24" ca="1">INDIRECT(ADDRESS(ROW(),MATCH(MAX(G24,I24,K24,M24,O24,Q24,S24),F24:S24,0)-1+COLUMNS(A24:E24),4))</f>
        <v>6.5</v>
      </c>
      <c r="F24" s="773">
        <v>6.5</v>
      </c>
      <c r="G24" s="432">
        <v>45008</v>
      </c>
      <c r="H24" s="56"/>
      <c r="I24" s="59"/>
      <c r="J24" s="63"/>
      <c r="K24" s="66"/>
      <c r="L24" s="70"/>
      <c r="M24" s="73"/>
      <c r="N24" s="77"/>
      <c r="O24" s="80"/>
      <c r="P24" s="84"/>
      <c r="Q24" s="87"/>
      <c r="R24" s="91"/>
      <c r="S24" s="94"/>
    </row>
    <row r="25" spans="2:19" x14ac:dyDescent="0.25">
      <c r="B25" s="41" t="s">
        <v>99</v>
      </c>
      <c r="C25" s="8" t="s">
        <v>0</v>
      </c>
      <c r="D25" s="882">
        <v>1.1299999999999999</v>
      </c>
      <c r="E25" s="733" cm="1">
        <f t="array" aca="1" ref="E25" ca="1">INDIRECT(ADDRESS(ROW(),MATCH(MAX(G25,I25,K25,M25,O25,Q25,S25),F25:S25,0)-1+COLUMNS(A25:E25),4))</f>
        <v>4</v>
      </c>
      <c r="F25" s="766">
        <f>3.35</f>
        <v>3.35</v>
      </c>
      <c r="G25" s="102">
        <v>44176</v>
      </c>
      <c r="H25" s="56">
        <v>4</v>
      </c>
      <c r="I25" s="59">
        <v>44245</v>
      </c>
      <c r="J25" s="63"/>
      <c r="K25" s="66"/>
      <c r="L25" s="70"/>
      <c r="M25" s="73"/>
      <c r="N25" s="77"/>
      <c r="O25" s="80"/>
      <c r="P25" s="84"/>
      <c r="Q25" s="87"/>
      <c r="R25" s="91"/>
      <c r="S25" s="94"/>
    </row>
    <row r="26" spans="2:19" ht="15.75" thickBot="1" x14ac:dyDescent="0.3">
      <c r="B26" s="4" t="s">
        <v>325</v>
      </c>
      <c r="C26" s="16" t="s">
        <v>0</v>
      </c>
      <c r="D26" s="884">
        <v>0.63600000000000001</v>
      </c>
      <c r="E26" s="734" cm="1">
        <f t="array" aca="1" ref="E26" ca="1">INDIRECT(ADDRESS(ROW(),MATCH(MAX(G26,I26,K26,M26,O26,Q26,S26),F26:S26,0)-1+COLUMNS(A26:E26),4))</f>
        <v>3.694</v>
      </c>
      <c r="F26" s="768">
        <f>3.694</f>
        <v>3.694</v>
      </c>
      <c r="G26" s="154">
        <v>44269</v>
      </c>
      <c r="H26" s="488"/>
      <c r="I26" s="489"/>
      <c r="J26" s="359"/>
      <c r="K26" s="360"/>
      <c r="L26" s="490"/>
      <c r="M26" s="491"/>
      <c r="N26" s="361"/>
      <c r="O26" s="362"/>
      <c r="P26" s="492"/>
      <c r="Q26" s="493"/>
      <c r="R26" s="95"/>
      <c r="S26" s="363"/>
    </row>
    <row r="27" spans="2:19" ht="15.75" thickBot="1" x14ac:dyDescent="0.3">
      <c r="H27" s="43"/>
      <c r="I27" s="141"/>
      <c r="J27" s="43"/>
      <c r="K27" s="141"/>
      <c r="L27" s="43"/>
      <c r="M27" s="141"/>
      <c r="N27" s="43"/>
      <c r="O27" s="141"/>
      <c r="P27" s="43"/>
      <c r="Q27" s="141"/>
      <c r="R27" s="43"/>
      <c r="S27" s="141"/>
    </row>
    <row r="28" spans="2:19" ht="15.75" thickBot="1" x14ac:dyDescent="0.3">
      <c r="B28" s="866"/>
      <c r="C28" s="867"/>
      <c r="D28" s="860" t="s">
        <v>432</v>
      </c>
      <c r="E28" s="861" t="s">
        <v>29</v>
      </c>
      <c r="F28" s="861" t="s">
        <v>426</v>
      </c>
      <c r="G28" s="861" t="s">
        <v>427</v>
      </c>
      <c r="H28" s="862" t="s">
        <v>428</v>
      </c>
      <c r="I28" s="863" t="s">
        <v>429</v>
      </c>
      <c r="J28" s="863" t="s">
        <v>430</v>
      </c>
      <c r="K28" s="141"/>
      <c r="L28" s="43"/>
      <c r="M28" s="141"/>
      <c r="N28" s="43"/>
      <c r="O28" s="141"/>
      <c r="P28" s="43"/>
      <c r="Q28" s="141"/>
      <c r="R28" s="43"/>
      <c r="S28" s="141"/>
    </row>
    <row r="29" spans="2:19" ht="16.5" thickBot="1" x14ac:dyDescent="0.3">
      <c r="B29" s="935" t="s">
        <v>424</v>
      </c>
      <c r="C29" s="936"/>
      <c r="D29" s="865" t="s">
        <v>492</v>
      </c>
      <c r="E29" s="695" t="s">
        <v>0</v>
      </c>
      <c r="F29" s="859">
        <f>3*2</f>
        <v>6</v>
      </c>
      <c r="G29" s="859">
        <v>17.5</v>
      </c>
      <c r="H29" s="864">
        <f>G29*F29</f>
        <v>105</v>
      </c>
      <c r="I29" s="864">
        <f>(2.069*2)*4.522</f>
        <v>18.712036000000001</v>
      </c>
      <c r="J29" s="864">
        <f>((0.04*4)*(2.069*2))+(0.04*0.04-(0.04-0.004)*(0.04-0.004))*2*2</f>
        <v>0.663296</v>
      </c>
      <c r="K29" t="s">
        <v>506</v>
      </c>
    </row>
    <row r="32" spans="2:19" x14ac:dyDescent="0.25">
      <c r="D32" s="870"/>
      <c r="E32" s="548"/>
    </row>
    <row r="33" spans="4:9" x14ac:dyDescent="0.25">
      <c r="I33" s="548"/>
    </row>
    <row r="34" spans="4:9" x14ac:dyDescent="0.25">
      <c r="D34" s="620"/>
      <c r="E34" s="871"/>
    </row>
  </sheetData>
  <mergeCells count="11">
    <mergeCell ref="B29:C29"/>
    <mergeCell ref="B3:B4"/>
    <mergeCell ref="C3:C4"/>
    <mergeCell ref="G3:G4"/>
    <mergeCell ref="I3:I4"/>
    <mergeCell ref="S3:S4"/>
    <mergeCell ref="B2:D2"/>
    <mergeCell ref="K3:K4"/>
    <mergeCell ref="M3:M4"/>
    <mergeCell ref="O3:O4"/>
    <mergeCell ref="Q3:Q4"/>
  </mergeCells>
  <hyperlinks>
    <hyperlink ref="A1" location="CUPRINS!A1" display="CUPRINS" xr:uid="{D98D2E6C-85FB-4BA8-9FC5-A95D3A61C3CF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12F9-376A-41F7-AC3D-F70E2046DE23}">
  <sheetPr codeName="Sheet3"/>
  <dimension ref="A1:S17"/>
  <sheetViews>
    <sheetView zoomScale="91" zoomScaleNormal="91" workbookViewId="0"/>
  </sheetViews>
  <sheetFormatPr defaultRowHeight="15" x14ac:dyDescent="0.25"/>
  <cols>
    <col min="2" max="2" width="11.85546875" customWidth="1"/>
    <col min="3" max="3" width="12.5703125" customWidth="1"/>
    <col min="4" max="4" width="26.28515625" customWidth="1"/>
    <col min="5" max="5" width="24" customWidth="1"/>
    <col min="6" max="6" width="14.85546875" customWidth="1"/>
    <col min="7" max="7" width="15" customWidth="1"/>
    <col min="8" max="8" width="12.5703125" customWidth="1"/>
    <col min="9" max="9" width="11.85546875" customWidth="1"/>
    <col min="10" max="10" width="13.85546875" customWidth="1"/>
    <col min="11" max="11" width="13" customWidth="1"/>
    <col min="12" max="12" width="13.42578125" customWidth="1"/>
    <col min="13" max="13" width="13.5703125" customWidth="1"/>
    <col min="14" max="14" width="12.85546875" customWidth="1"/>
    <col min="15" max="15" width="14.85546875" customWidth="1"/>
    <col min="16" max="16" width="15" customWidth="1"/>
    <col min="17" max="17" width="9.85546875" customWidth="1"/>
    <col min="18" max="18" width="14.28515625" customWidth="1"/>
    <col min="19" max="19" width="13.7109375" customWidth="1"/>
  </cols>
  <sheetData>
    <row r="1" spans="1:19" ht="15.75" thickBot="1" x14ac:dyDescent="0.3">
      <c r="A1" s="445" t="s">
        <v>199</v>
      </c>
    </row>
    <row r="2" spans="1:19" ht="16.5" thickBot="1" x14ac:dyDescent="0.3">
      <c r="B2" s="937" t="s">
        <v>234</v>
      </c>
      <c r="C2" s="938"/>
      <c r="D2" s="939"/>
      <c r="E2" s="770"/>
      <c r="F2" s="101"/>
      <c r="G2" s="101"/>
    </row>
    <row r="3" spans="1:19" x14ac:dyDescent="0.25">
      <c r="B3" s="946" t="s">
        <v>28</v>
      </c>
      <c r="C3" s="948" t="s">
        <v>29</v>
      </c>
      <c r="D3" s="105" t="s">
        <v>176</v>
      </c>
      <c r="E3" s="769" t="s">
        <v>418</v>
      </c>
      <c r="F3" s="122" t="s">
        <v>178</v>
      </c>
      <c r="G3" s="950" t="s">
        <v>39</v>
      </c>
      <c r="H3" s="126" t="s">
        <v>178</v>
      </c>
      <c r="I3" s="942" t="s">
        <v>39</v>
      </c>
      <c r="J3" s="130" t="s">
        <v>178</v>
      </c>
      <c r="K3" s="944" t="s">
        <v>39</v>
      </c>
      <c r="L3" s="132" t="s">
        <v>178</v>
      </c>
      <c r="M3" s="931" t="s">
        <v>39</v>
      </c>
      <c r="N3" s="134" t="s">
        <v>178</v>
      </c>
      <c r="O3" s="929" t="s">
        <v>39</v>
      </c>
      <c r="P3" s="136" t="s">
        <v>178</v>
      </c>
      <c r="Q3" s="927" t="s">
        <v>39</v>
      </c>
      <c r="R3" s="138" t="s">
        <v>178</v>
      </c>
      <c r="S3" s="933" t="s">
        <v>39</v>
      </c>
    </row>
    <row r="4" spans="1:19" ht="15.75" thickBot="1" x14ac:dyDescent="0.3">
      <c r="B4" s="947"/>
      <c r="C4" s="949"/>
      <c r="D4" s="52" t="s">
        <v>175</v>
      </c>
      <c r="E4" s="278" t="s">
        <v>419</v>
      </c>
      <c r="F4" s="123" t="s">
        <v>179</v>
      </c>
      <c r="G4" s="951"/>
      <c r="H4" s="127" t="s">
        <v>179</v>
      </c>
      <c r="I4" s="943"/>
      <c r="J4" s="131" t="s">
        <v>179</v>
      </c>
      <c r="K4" s="945"/>
      <c r="L4" s="133" t="s">
        <v>179</v>
      </c>
      <c r="M4" s="932"/>
      <c r="N4" s="135" t="s">
        <v>179</v>
      </c>
      <c r="O4" s="930"/>
      <c r="P4" s="137" t="s">
        <v>179</v>
      </c>
      <c r="Q4" s="928"/>
      <c r="R4" s="139" t="s">
        <v>179</v>
      </c>
      <c r="S4" s="934"/>
    </row>
    <row r="5" spans="1:19" x14ac:dyDescent="0.25">
      <c r="B5" s="6" t="s">
        <v>121</v>
      </c>
      <c r="C5" s="10" t="s">
        <v>0</v>
      </c>
      <c r="D5" s="837">
        <v>23.11</v>
      </c>
      <c r="E5" s="838" cm="1">
        <f t="array" aca="1" ref="E5" ca="1">INDIRECT(ADDRESS(ROW(),MATCH(MAX(G5,I5,K5,M5,O5,Q5,S5),F5:S5,0)-1+COLUMNS(A5:E5),4))</f>
        <v>95</v>
      </c>
      <c r="F5" s="766">
        <v>95</v>
      </c>
      <c r="G5" s="102">
        <v>44208</v>
      </c>
      <c r="H5" s="54"/>
      <c r="I5" s="55"/>
      <c r="J5" s="61"/>
      <c r="K5" s="62"/>
      <c r="L5" s="68"/>
      <c r="M5" s="69"/>
      <c r="N5" s="75"/>
      <c r="O5" s="76"/>
      <c r="P5" s="82"/>
      <c r="Q5" s="83"/>
      <c r="R5" s="89"/>
      <c r="S5" s="90"/>
    </row>
    <row r="6" spans="1:19" x14ac:dyDescent="0.25">
      <c r="B6" s="6" t="s">
        <v>70</v>
      </c>
      <c r="C6" s="10" t="s">
        <v>0</v>
      </c>
      <c r="D6" s="837">
        <v>18.84</v>
      </c>
      <c r="E6" s="839" cm="1">
        <f t="array" aca="1" ref="E6" ca="1">INDIRECT(ADDRESS(ROW(),MATCH(MAX(G6,I6,K6,M6,O6,Q6,S6),F6:S6,0)-1+COLUMNS(A6:E6),4))</f>
        <v>55.6</v>
      </c>
      <c r="F6" s="766">
        <v>55.6</v>
      </c>
      <c r="G6" s="102">
        <v>43910</v>
      </c>
      <c r="H6" s="56"/>
      <c r="I6" s="57"/>
      <c r="J6" s="63"/>
      <c r="K6" s="64"/>
      <c r="L6" s="70"/>
      <c r="M6" s="71"/>
      <c r="N6" s="77"/>
      <c r="O6" s="78"/>
      <c r="P6" s="84"/>
      <c r="Q6" s="85"/>
      <c r="R6" s="91"/>
      <c r="S6" s="92"/>
    </row>
    <row r="7" spans="1:19" x14ac:dyDescent="0.25">
      <c r="B7" s="6" t="s">
        <v>450</v>
      </c>
      <c r="C7" s="10" t="s">
        <v>0</v>
      </c>
      <c r="D7" s="876">
        <v>10.99</v>
      </c>
      <c r="E7" s="839" cm="1">
        <f t="array" aca="1" ref="E7" ca="1">INDIRECT(ADDRESS(ROW(),MATCH(MAX(G7,I7,K7,M7,O7,Q7,S7),F7:S7,0)-1+COLUMNS(A7:E7),4))</f>
        <v>47.5</v>
      </c>
      <c r="F7" s="766">
        <v>47.5</v>
      </c>
      <c r="G7" s="102">
        <v>44998</v>
      </c>
      <c r="H7" s="56"/>
      <c r="I7" s="57"/>
      <c r="J7" s="63"/>
      <c r="K7" s="64"/>
      <c r="L7" s="70"/>
      <c r="M7" s="71"/>
      <c r="N7" s="77"/>
      <c r="O7" s="78"/>
      <c r="P7" s="84"/>
      <c r="Q7" s="85"/>
      <c r="R7" s="91"/>
      <c r="S7" s="92"/>
    </row>
    <row r="8" spans="1:19" x14ac:dyDescent="0.25">
      <c r="B8" s="6" t="s">
        <v>451</v>
      </c>
      <c r="C8" s="10" t="s">
        <v>0</v>
      </c>
      <c r="D8" s="876">
        <v>8.9179999999999993</v>
      </c>
      <c r="E8" s="839" cm="1">
        <f t="array" aca="1" ref="E8" ca="1">INDIRECT(ADDRESS(ROW(),MATCH(MAX(G8,I8,K8,M8,O8,Q8,S8),F8:S8,0)-1+COLUMNS(A8:E8),4))</f>
        <v>39</v>
      </c>
      <c r="F8" s="766">
        <v>39</v>
      </c>
      <c r="G8" s="102">
        <v>44998</v>
      </c>
      <c r="H8" s="56"/>
      <c r="I8" s="57"/>
      <c r="J8" s="63"/>
      <c r="K8" s="64"/>
      <c r="L8" s="70"/>
      <c r="M8" s="71"/>
      <c r="N8" s="77"/>
      <c r="O8" s="78"/>
      <c r="P8" s="84"/>
      <c r="Q8" s="85"/>
      <c r="R8" s="91"/>
      <c r="S8" s="92"/>
    </row>
    <row r="9" spans="1:19" x14ac:dyDescent="0.25">
      <c r="B9" s="6" t="s">
        <v>192</v>
      </c>
      <c r="C9" s="10" t="s">
        <v>0</v>
      </c>
      <c r="D9" s="837">
        <v>6.782</v>
      </c>
      <c r="E9" s="839" cm="1">
        <f t="array" aca="1" ref="E9" ca="1">INDIRECT(ADDRESS(ROW(),MATCH(MAX(G9,I9,K9,M9,O9,Q9,S9),F9:S9,0)-1+COLUMNS(A9:E9),4))</f>
        <v>29.6</v>
      </c>
      <c r="F9" s="766">
        <v>41</v>
      </c>
      <c r="G9" s="102">
        <v>44391</v>
      </c>
      <c r="H9" s="56">
        <v>35.799999999999997</v>
      </c>
      <c r="I9" s="447">
        <v>44438</v>
      </c>
      <c r="J9" s="63">
        <v>29.6</v>
      </c>
      <c r="K9" s="495">
        <v>45009</v>
      </c>
      <c r="L9" s="70"/>
      <c r="M9" s="71"/>
      <c r="N9" s="77"/>
      <c r="O9" s="78"/>
      <c r="P9" s="84"/>
      <c r="Q9" s="85"/>
      <c r="R9" s="91"/>
      <c r="S9" s="92"/>
    </row>
    <row r="10" spans="1:19" x14ac:dyDescent="0.25">
      <c r="B10" s="6" t="s">
        <v>44</v>
      </c>
      <c r="C10" s="10" t="s">
        <v>0</v>
      </c>
      <c r="D10" s="837">
        <v>11.775</v>
      </c>
      <c r="E10" s="839" cm="1">
        <f t="array" aca="1" ref="E10" ca="1">INDIRECT(ADDRESS(ROW(),MATCH(MAX(G10,I10,K10,M10,O10,Q10,S10),F10:S10,0)-1+COLUMNS(A10:E10),4))</f>
        <v>62.4</v>
      </c>
      <c r="F10" s="766">
        <v>62.4</v>
      </c>
      <c r="G10" s="102">
        <v>44489</v>
      </c>
      <c r="H10" s="56"/>
      <c r="I10" s="447"/>
      <c r="J10" s="63"/>
      <c r="K10" s="64"/>
      <c r="L10" s="70"/>
      <c r="M10" s="71"/>
      <c r="N10" s="77"/>
      <c r="O10" s="78"/>
      <c r="P10" s="84"/>
      <c r="Q10" s="85"/>
      <c r="R10" s="91"/>
      <c r="S10" s="92"/>
    </row>
    <row r="11" spans="1:19" x14ac:dyDescent="0.25">
      <c r="B11" s="41" t="s">
        <v>165</v>
      </c>
      <c r="C11" s="8" t="s">
        <v>0</v>
      </c>
      <c r="D11" s="431">
        <v>4.4269999999999996</v>
      </c>
      <c r="E11" s="839" cm="1">
        <f t="array" aca="1" ref="E11" ca="1">INDIRECT(ADDRESS(ROW(),MATCH(MAX(G11,I11,K11,M11,O11,Q11,S11),F11:S11,0)-1+COLUMNS(A11:E11),4))</f>
        <v>18.5</v>
      </c>
      <c r="F11" s="766">
        <v>22.4</v>
      </c>
      <c r="G11" s="102">
        <v>44329</v>
      </c>
      <c r="H11" s="399">
        <v>27</v>
      </c>
      <c r="I11" s="59">
        <v>44391</v>
      </c>
      <c r="J11" s="448">
        <v>25.28</v>
      </c>
      <c r="K11" s="66">
        <v>44431</v>
      </c>
      <c r="L11" s="450">
        <v>24.6</v>
      </c>
      <c r="M11" s="73">
        <v>44438</v>
      </c>
      <c r="N11" s="551">
        <v>18.5</v>
      </c>
      <c r="O11" s="80">
        <v>45007</v>
      </c>
      <c r="P11" s="86"/>
      <c r="Q11" s="87"/>
      <c r="R11" s="93"/>
      <c r="S11" s="94"/>
    </row>
    <row r="12" spans="1:19" x14ac:dyDescent="0.25">
      <c r="B12" s="41" t="s">
        <v>32</v>
      </c>
      <c r="C12" s="8" t="s">
        <v>0</v>
      </c>
      <c r="D12" s="431">
        <v>3.0139999999999998</v>
      </c>
      <c r="E12" s="839" cm="1">
        <f t="array" aca="1" ref="E12" ca="1">INDIRECT(ADDRESS(ROW(),MATCH(MAX(G12,I12,K12,M12,O12,Q12,S12),F12:S12,0)-1+COLUMNS(A12:E12),4))</f>
        <v>11.32</v>
      </c>
      <c r="F12" s="766">
        <f>8.3*1.2</f>
        <v>9.9600000000000009</v>
      </c>
      <c r="G12" s="102">
        <v>44138</v>
      </c>
      <c r="H12" s="56">
        <v>17</v>
      </c>
      <c r="I12" s="59">
        <v>44438</v>
      </c>
      <c r="J12" s="63">
        <v>12.4</v>
      </c>
      <c r="K12" s="66">
        <v>44915</v>
      </c>
      <c r="L12" s="70">
        <v>11.32</v>
      </c>
      <c r="M12" s="73">
        <v>45114</v>
      </c>
      <c r="N12" s="77"/>
      <c r="O12" s="80"/>
      <c r="P12" s="84"/>
      <c r="Q12" s="87"/>
      <c r="R12" s="91"/>
      <c r="S12" s="94"/>
    </row>
    <row r="13" spans="1:19" x14ac:dyDescent="0.25">
      <c r="B13" s="41" t="s">
        <v>393</v>
      </c>
      <c r="C13" s="8" t="s">
        <v>0</v>
      </c>
      <c r="D13" s="431">
        <v>1.758</v>
      </c>
      <c r="E13" s="875" cm="1">
        <f t="array" aca="1" ref="E13" ca="1">INDIRECT(ADDRESS(ROW(),MATCH(MAX(G13,I13,K13,M13,O13,Q13,S13),F13:S13,0)-1+COLUMNS(A13:E13),4))</f>
        <v>9</v>
      </c>
      <c r="F13" s="766">
        <v>7.7919999999999998</v>
      </c>
      <c r="G13" s="102">
        <v>44790</v>
      </c>
      <c r="H13" s="56">
        <v>9</v>
      </c>
      <c r="I13" s="59">
        <v>44791</v>
      </c>
      <c r="J13" s="63"/>
      <c r="K13" s="66"/>
      <c r="L13" s="70"/>
      <c r="M13" s="73"/>
      <c r="N13" s="77"/>
      <c r="O13" s="80"/>
      <c r="P13" s="84"/>
      <c r="Q13" s="87"/>
      <c r="R13" s="91"/>
      <c r="S13" s="94"/>
    </row>
    <row r="14" spans="1:19" ht="15.75" thickBot="1" x14ac:dyDescent="0.3">
      <c r="B14" s="4" t="s">
        <v>447</v>
      </c>
      <c r="C14" s="16" t="s">
        <v>0</v>
      </c>
      <c r="D14" s="809">
        <v>0.98899999999999999</v>
      </c>
      <c r="E14" s="840">
        <v>4.71</v>
      </c>
      <c r="F14" s="768">
        <v>7.7919999999999998</v>
      </c>
      <c r="G14" s="154">
        <v>44984</v>
      </c>
      <c r="H14" s="488"/>
      <c r="I14" s="489"/>
      <c r="J14" s="359"/>
      <c r="K14" s="360"/>
      <c r="L14" s="490"/>
      <c r="M14" s="491"/>
      <c r="N14" s="361"/>
      <c r="O14" s="362"/>
      <c r="P14" s="492"/>
      <c r="Q14" s="493"/>
      <c r="R14" s="95"/>
      <c r="S14" s="363"/>
    </row>
    <row r="15" spans="1:19" ht="15.75" thickBot="1" x14ac:dyDescent="0.3">
      <c r="H15" s="43"/>
      <c r="I15" s="141"/>
      <c r="J15" s="43"/>
      <c r="K15" s="141"/>
      <c r="L15" s="43"/>
      <c r="M15" s="141"/>
      <c r="N15" s="43"/>
      <c r="O15" s="141"/>
      <c r="P15" s="43"/>
      <c r="Q15" s="141"/>
      <c r="R15" s="43"/>
      <c r="S15" s="141"/>
    </row>
    <row r="16" spans="1:19" ht="15.75" thickBot="1" x14ac:dyDescent="0.3">
      <c r="B16" s="866"/>
      <c r="C16" s="867"/>
      <c r="D16" s="860" t="s">
        <v>432</v>
      </c>
      <c r="E16" s="861" t="s">
        <v>29</v>
      </c>
      <c r="F16" s="861" t="s">
        <v>426</v>
      </c>
      <c r="G16" s="861" t="s">
        <v>427</v>
      </c>
      <c r="H16" s="862" t="s">
        <v>428</v>
      </c>
      <c r="I16" s="863" t="s">
        <v>429</v>
      </c>
      <c r="J16" s="863" t="s">
        <v>430</v>
      </c>
      <c r="K16" s="141"/>
      <c r="L16" s="43"/>
      <c r="M16" s="141"/>
      <c r="N16" s="43"/>
      <c r="O16" s="141"/>
      <c r="P16" s="43"/>
      <c r="Q16" s="141"/>
      <c r="R16" s="43"/>
      <c r="S16" s="141"/>
    </row>
    <row r="17" spans="2:10" ht="16.5" thickBot="1" x14ac:dyDescent="0.3">
      <c r="B17" s="935" t="s">
        <v>424</v>
      </c>
      <c r="C17" s="936"/>
      <c r="D17" s="865" t="s">
        <v>481</v>
      </c>
      <c r="E17" s="695" t="s">
        <v>0</v>
      </c>
      <c r="F17" s="859"/>
      <c r="G17" s="859">
        <v>12.4</v>
      </c>
      <c r="H17" s="864">
        <f>G17*F17</f>
        <v>0</v>
      </c>
      <c r="I17" s="864"/>
      <c r="J17" s="864"/>
    </row>
  </sheetData>
  <mergeCells count="11">
    <mergeCell ref="B17:C17"/>
    <mergeCell ref="B3:B4"/>
    <mergeCell ref="C3:C4"/>
    <mergeCell ref="G3:G4"/>
    <mergeCell ref="I3:I4"/>
    <mergeCell ref="S3:S4"/>
    <mergeCell ref="B2:D2"/>
    <mergeCell ref="K3:K4"/>
    <mergeCell ref="M3:M4"/>
    <mergeCell ref="O3:O4"/>
    <mergeCell ref="Q3:Q4"/>
  </mergeCells>
  <hyperlinks>
    <hyperlink ref="A1" location="CUPRINS!A1" display="CUPRINS" xr:uid="{6406DADC-DE34-4085-BE0B-75E0139431DE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045A-8B44-4F93-9AB5-A91BEBE38F2B}">
  <sheetPr codeName="Sheet13"/>
  <dimension ref="A1:S5"/>
  <sheetViews>
    <sheetView workbookViewId="0">
      <selection activeCell="E29" sqref="E29"/>
    </sheetView>
  </sheetViews>
  <sheetFormatPr defaultRowHeight="15" x14ac:dyDescent="0.25"/>
  <cols>
    <col min="2" max="2" width="28.42578125" customWidth="1"/>
    <col min="3" max="3" width="16.5703125" customWidth="1"/>
    <col min="4" max="4" width="16.28515625" customWidth="1"/>
    <col min="5" max="5" width="20.42578125" customWidth="1"/>
    <col min="6" max="6" width="11.5703125" customWidth="1"/>
    <col min="7" max="7" width="20.140625" customWidth="1"/>
    <col min="8" max="8" width="12.7109375" customWidth="1"/>
    <col min="9" max="9" width="14.28515625" customWidth="1"/>
    <col min="10" max="10" width="13.28515625" customWidth="1"/>
    <col min="12" max="12" width="15.5703125" customWidth="1"/>
    <col min="14" max="14" width="12.5703125" customWidth="1"/>
    <col min="16" max="16" width="13" customWidth="1"/>
    <col min="18" max="18" width="15.5703125" customWidth="1"/>
  </cols>
  <sheetData>
    <row r="1" spans="1:19" ht="15.75" thickBot="1" x14ac:dyDescent="0.3">
      <c r="A1" s="445" t="s">
        <v>199</v>
      </c>
    </row>
    <row r="2" spans="1:19" ht="16.5" thickBot="1" x14ac:dyDescent="0.3">
      <c r="B2" s="937" t="s">
        <v>235</v>
      </c>
      <c r="C2" s="938"/>
      <c r="D2" s="939"/>
      <c r="E2" s="770"/>
      <c r="F2" s="101"/>
      <c r="G2" s="101"/>
    </row>
    <row r="3" spans="1:19" x14ac:dyDescent="0.25">
      <c r="B3" s="946" t="s">
        <v>28</v>
      </c>
      <c r="C3" s="948" t="s">
        <v>29</v>
      </c>
      <c r="D3" s="105" t="s">
        <v>176</v>
      </c>
      <c r="E3" s="769" t="s">
        <v>418</v>
      </c>
      <c r="F3" s="122" t="s">
        <v>178</v>
      </c>
      <c r="G3" s="950" t="s">
        <v>39</v>
      </c>
      <c r="H3" s="126" t="s">
        <v>178</v>
      </c>
      <c r="I3" s="942" t="s">
        <v>39</v>
      </c>
      <c r="J3" s="130" t="s">
        <v>178</v>
      </c>
      <c r="K3" s="944" t="s">
        <v>39</v>
      </c>
      <c r="L3" s="132" t="s">
        <v>178</v>
      </c>
      <c r="M3" s="931" t="s">
        <v>39</v>
      </c>
      <c r="N3" s="134" t="s">
        <v>178</v>
      </c>
      <c r="O3" s="929" t="s">
        <v>39</v>
      </c>
      <c r="P3" s="136" t="s">
        <v>178</v>
      </c>
      <c r="Q3" s="927" t="s">
        <v>39</v>
      </c>
      <c r="R3" s="138" t="s">
        <v>178</v>
      </c>
      <c r="S3" s="933" t="s">
        <v>39</v>
      </c>
    </row>
    <row r="4" spans="1:19" ht="15.75" thickBot="1" x14ac:dyDescent="0.3">
      <c r="B4" s="947"/>
      <c r="C4" s="949"/>
      <c r="D4" s="52" t="s">
        <v>175</v>
      </c>
      <c r="E4" s="278" t="s">
        <v>419</v>
      </c>
      <c r="F4" s="123" t="s">
        <v>179</v>
      </c>
      <c r="G4" s="951"/>
      <c r="H4" s="127" t="s">
        <v>179</v>
      </c>
      <c r="I4" s="943"/>
      <c r="J4" s="131" t="s">
        <v>179</v>
      </c>
      <c r="K4" s="945"/>
      <c r="L4" s="133" t="s">
        <v>179</v>
      </c>
      <c r="M4" s="932"/>
      <c r="N4" s="135" t="s">
        <v>179</v>
      </c>
      <c r="O4" s="930"/>
      <c r="P4" s="137" t="s">
        <v>179</v>
      </c>
      <c r="Q4" s="928"/>
      <c r="R4" s="139" t="s">
        <v>179</v>
      </c>
      <c r="S4" s="934"/>
    </row>
    <row r="5" spans="1:19" ht="15.75" thickBot="1" x14ac:dyDescent="0.3">
      <c r="B5" s="4" t="s">
        <v>13</v>
      </c>
      <c r="C5" s="16" t="s">
        <v>41</v>
      </c>
      <c r="D5" s="26">
        <v>1.2</v>
      </c>
      <c r="E5" s="841" cm="1">
        <f t="array" aca="1" ref="E5" ca="1">INDIRECT(ADDRESS(ROW(),MATCH(MAX(G5,I5,K5,M5,O5,Q5,S5),F5:S5,0)-1+COLUMNS(A5:E5),4))</f>
        <v>25</v>
      </c>
      <c r="F5" s="51">
        <v>25</v>
      </c>
      <c r="G5" s="154">
        <v>44104</v>
      </c>
      <c r="H5" s="188"/>
      <c r="I5" s="60"/>
      <c r="J5" s="189"/>
      <c r="K5" s="67"/>
      <c r="L5" s="190"/>
      <c r="M5" s="74"/>
      <c r="N5" s="191"/>
      <c r="O5" s="81"/>
      <c r="P5" s="192"/>
      <c r="Q5" s="88"/>
      <c r="R5" s="193"/>
      <c r="S5" s="96"/>
    </row>
  </sheetData>
  <mergeCells count="10">
    <mergeCell ref="B2:D2"/>
    <mergeCell ref="B3:B4"/>
    <mergeCell ref="C3:C4"/>
    <mergeCell ref="G3:G4"/>
    <mergeCell ref="S3:S4"/>
    <mergeCell ref="I3:I4"/>
    <mergeCell ref="K3:K4"/>
    <mergeCell ref="M3:M4"/>
    <mergeCell ref="O3:O4"/>
    <mergeCell ref="Q3:Q4"/>
  </mergeCells>
  <hyperlinks>
    <hyperlink ref="A1" location="CUPRINS!A1" display="CUPRINS" xr:uid="{ADB6E65A-331D-488C-B2E8-B775B120DA34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90396-BC98-4C6E-8E74-E742A626CD28}">
  <sheetPr codeName="Sheet15"/>
  <dimension ref="A1:S23"/>
  <sheetViews>
    <sheetView workbookViewId="0"/>
  </sheetViews>
  <sheetFormatPr defaultRowHeight="15" x14ac:dyDescent="0.25"/>
  <cols>
    <col min="2" max="2" width="28.7109375" customWidth="1"/>
    <col min="3" max="3" width="12.140625" customWidth="1"/>
    <col min="4" max="4" width="29.85546875" customWidth="1"/>
    <col min="5" max="5" width="20" customWidth="1"/>
    <col min="6" max="6" width="13.7109375" customWidth="1"/>
    <col min="7" max="7" width="11.85546875" customWidth="1"/>
    <col min="8" max="8" width="15.42578125" customWidth="1"/>
    <col min="9" max="9" width="14.42578125" customWidth="1"/>
    <col min="10" max="10" width="15" customWidth="1"/>
    <col min="11" max="11" width="12.7109375" customWidth="1"/>
    <col min="12" max="12" width="15.140625" customWidth="1"/>
    <col min="13" max="13" width="12.5703125" customWidth="1"/>
    <col min="14" max="14" width="13.5703125" customWidth="1"/>
    <col min="15" max="15" width="14.140625" customWidth="1"/>
    <col min="16" max="16" width="14.7109375" customWidth="1"/>
    <col min="17" max="17" width="16.140625" customWidth="1"/>
    <col min="18" max="18" width="13.140625" customWidth="1"/>
  </cols>
  <sheetData>
    <row r="1" spans="1:18" x14ac:dyDescent="0.25">
      <c r="A1" s="445" t="s">
        <v>199</v>
      </c>
    </row>
    <row r="2" spans="1:18" ht="15.75" thickBot="1" x14ac:dyDescent="0.3"/>
    <row r="3" spans="1:18" ht="16.5" thickBot="1" x14ac:dyDescent="0.3">
      <c r="B3" s="937" t="s">
        <v>239</v>
      </c>
      <c r="C3" s="939"/>
      <c r="D3" s="101"/>
    </row>
    <row r="4" spans="1:18" x14ac:dyDescent="0.25">
      <c r="B4" s="946" t="s">
        <v>28</v>
      </c>
      <c r="C4" s="948" t="s">
        <v>29</v>
      </c>
      <c r="D4" s="769" t="s">
        <v>418</v>
      </c>
      <c r="E4" s="122" t="s">
        <v>178</v>
      </c>
      <c r="F4" s="940" t="s">
        <v>39</v>
      </c>
      <c r="G4" s="126" t="s">
        <v>178</v>
      </c>
      <c r="H4" s="942" t="s">
        <v>39</v>
      </c>
      <c r="I4" s="130" t="s">
        <v>178</v>
      </c>
      <c r="J4" s="944" t="s">
        <v>39</v>
      </c>
      <c r="K4" s="132" t="s">
        <v>178</v>
      </c>
      <c r="L4" s="931" t="s">
        <v>39</v>
      </c>
      <c r="M4" s="134" t="s">
        <v>178</v>
      </c>
      <c r="N4" s="929" t="s">
        <v>39</v>
      </c>
      <c r="O4" s="136" t="s">
        <v>178</v>
      </c>
      <c r="P4" s="927" t="s">
        <v>39</v>
      </c>
      <c r="Q4" s="138" t="s">
        <v>178</v>
      </c>
      <c r="R4" s="933" t="s">
        <v>39</v>
      </c>
    </row>
    <row r="5" spans="1:18" ht="15.75" thickBot="1" x14ac:dyDescent="0.3">
      <c r="B5" s="947"/>
      <c r="C5" s="949"/>
      <c r="D5" s="278" t="s">
        <v>419</v>
      </c>
      <c r="E5" s="123" t="s">
        <v>179</v>
      </c>
      <c r="F5" s="941"/>
      <c r="G5" s="127" t="s">
        <v>179</v>
      </c>
      <c r="H5" s="943"/>
      <c r="I5" s="131" t="s">
        <v>179</v>
      </c>
      <c r="J5" s="945"/>
      <c r="K5" s="133" t="s">
        <v>179</v>
      </c>
      <c r="L5" s="932"/>
      <c r="M5" s="135" t="s">
        <v>179</v>
      </c>
      <c r="N5" s="930"/>
      <c r="O5" s="137" t="s">
        <v>179</v>
      </c>
      <c r="P5" s="928"/>
      <c r="Q5" s="139" t="s">
        <v>179</v>
      </c>
      <c r="R5" s="934"/>
    </row>
    <row r="6" spans="1:18" x14ac:dyDescent="0.25">
      <c r="B6" s="41" t="s">
        <v>64</v>
      </c>
      <c r="C6" s="792" t="s">
        <v>41</v>
      </c>
      <c r="D6" s="375" cm="1">
        <f t="array" aca="1" ref="D6" ca="1">INDIRECT(ADDRESS(ROW(),MATCH(MAX(F6,H6,J6,L6,N6,P6,R6),E6:R6,0)-1+COLUMNS(A6:D6),4))</f>
        <v>339.5</v>
      </c>
      <c r="E6" s="846">
        <v>339.5</v>
      </c>
      <c r="F6" s="842">
        <v>44232</v>
      </c>
      <c r="G6" s="213"/>
      <c r="H6" s="227"/>
      <c r="I6" s="215"/>
      <c r="J6" s="229"/>
      <c r="K6" s="217"/>
      <c r="L6" s="231"/>
      <c r="M6" s="219"/>
      <c r="N6" s="233"/>
      <c r="O6" s="221"/>
      <c r="P6" s="235"/>
      <c r="Q6" s="223"/>
      <c r="R6" s="237"/>
    </row>
    <row r="7" spans="1:18" x14ac:dyDescent="0.25">
      <c r="B7" s="3" t="s">
        <v>61</v>
      </c>
      <c r="C7" s="791" t="s">
        <v>41</v>
      </c>
      <c r="D7" s="279" cm="1">
        <f t="array" aca="1" ref="D7" ca="1">INDIRECT(ADDRESS(ROW(),MATCH(MAX(F7,H7,J7,L7,N7,P7,R7),E7:R7,0)-1+COLUMNS(A7:D7),4))</f>
        <v>106.8</v>
      </c>
      <c r="E7" s="847">
        <v>106.8</v>
      </c>
      <c r="F7" s="843">
        <v>43866</v>
      </c>
      <c r="G7" s="213"/>
      <c r="H7" s="227"/>
      <c r="I7" s="215"/>
      <c r="J7" s="229"/>
      <c r="K7" s="217"/>
      <c r="L7" s="231"/>
      <c r="M7" s="219"/>
      <c r="N7" s="233"/>
      <c r="O7" s="221"/>
      <c r="P7" s="235"/>
      <c r="Q7" s="223"/>
      <c r="R7" s="237"/>
    </row>
    <row r="8" spans="1:18" x14ac:dyDescent="0.25">
      <c r="B8" s="41" t="s">
        <v>63</v>
      </c>
      <c r="C8" s="792" t="s">
        <v>41</v>
      </c>
      <c r="D8" s="279" cm="1">
        <f t="array" aca="1" ref="D8" ca="1">INDIRECT(ADDRESS(ROW(),MATCH(MAX(F8,H8,J8,L8,N8,P8,R8),E8:R8,0)-1+COLUMNS(A8:D8),4))</f>
        <v>104.5</v>
      </c>
      <c r="E8" s="846">
        <v>104.5</v>
      </c>
      <c r="F8" s="842">
        <v>43866</v>
      </c>
      <c r="G8" s="213"/>
      <c r="H8" s="227"/>
      <c r="I8" s="215"/>
      <c r="J8" s="229"/>
      <c r="K8" s="217"/>
      <c r="L8" s="231"/>
      <c r="M8" s="219"/>
      <c r="N8" s="233"/>
      <c r="O8" s="221"/>
      <c r="P8" s="235"/>
      <c r="Q8" s="223"/>
      <c r="R8" s="237"/>
    </row>
    <row r="9" spans="1:18" x14ac:dyDescent="0.25">
      <c r="B9" s="41" t="s">
        <v>65</v>
      </c>
      <c r="C9" s="792" t="s">
        <v>41</v>
      </c>
      <c r="D9" s="279" cm="1">
        <f t="array" aca="1" ref="D9" ca="1">INDIRECT(ADDRESS(ROW(),MATCH(MAX(F9,H9,J9,L9,N9,P9,R9),E9:R9,0)-1+COLUMNS(A9:D9),4))</f>
        <v>197.5</v>
      </c>
      <c r="E9" s="846">
        <v>197.5</v>
      </c>
      <c r="F9" s="842">
        <v>44597</v>
      </c>
      <c r="G9" s="213"/>
      <c r="H9" s="227"/>
      <c r="I9" s="215"/>
      <c r="J9" s="229"/>
      <c r="K9" s="217"/>
      <c r="L9" s="231"/>
      <c r="M9" s="219"/>
      <c r="N9" s="233"/>
      <c r="O9" s="221"/>
      <c r="P9" s="235"/>
      <c r="Q9" s="223"/>
      <c r="R9" s="237"/>
    </row>
    <row r="10" spans="1:18" x14ac:dyDescent="0.25">
      <c r="B10" s="41" t="s">
        <v>67</v>
      </c>
      <c r="C10" s="792" t="s">
        <v>41</v>
      </c>
      <c r="D10" s="279" cm="1">
        <f t="array" aca="1" ref="D10" ca="1">INDIRECT(ADDRESS(ROW(),MATCH(MAX(F10,H10,J10,L10,N10,P10,R10),E10:R10,0)-1+COLUMNS(A10:D10),4))</f>
        <v>192.98</v>
      </c>
      <c r="E10" s="846">
        <v>192.98</v>
      </c>
      <c r="F10" s="842">
        <v>44962</v>
      </c>
      <c r="G10" s="213"/>
      <c r="H10" s="227"/>
      <c r="I10" s="215"/>
      <c r="J10" s="229"/>
      <c r="K10" s="217"/>
      <c r="L10" s="231"/>
      <c r="M10" s="219"/>
      <c r="N10" s="233"/>
      <c r="O10" s="221"/>
      <c r="P10" s="235"/>
      <c r="Q10" s="223"/>
      <c r="R10" s="237"/>
    </row>
    <row r="11" spans="1:18" x14ac:dyDescent="0.25">
      <c r="B11" s="41" t="s">
        <v>66</v>
      </c>
      <c r="C11" s="792" t="s">
        <v>41</v>
      </c>
      <c r="D11" s="279" cm="1">
        <f t="array" aca="1" ref="D11" ca="1">INDIRECT(ADDRESS(ROW(),MATCH(MAX(F11,H11,J11,L11,N11,P11,R11),E11:R11,0)-1+COLUMNS(A11:D11),4))</f>
        <v>187</v>
      </c>
      <c r="E11" s="846">
        <v>187</v>
      </c>
      <c r="F11" s="842">
        <v>44962</v>
      </c>
      <c r="G11" s="213"/>
      <c r="H11" s="227"/>
      <c r="I11" s="215"/>
      <c r="J11" s="229"/>
      <c r="K11" s="217"/>
      <c r="L11" s="231"/>
      <c r="M11" s="219"/>
      <c r="N11" s="233"/>
      <c r="O11" s="221"/>
      <c r="P11" s="235"/>
      <c r="Q11" s="223"/>
      <c r="R11" s="237"/>
    </row>
    <row r="12" spans="1:18" x14ac:dyDescent="0.25">
      <c r="B12" s="12" t="s">
        <v>58</v>
      </c>
      <c r="C12" s="793" t="s">
        <v>41</v>
      </c>
      <c r="D12" s="279" cm="1">
        <f t="array" aca="1" ref="D12" ca="1">INDIRECT(ADDRESS(ROW(),MATCH(MAX(F12,H12,J12,L12,N12,P12,R12),E12:R12,0)-1+COLUMNS(A12:D12),4))</f>
        <v>76.099999999999994</v>
      </c>
      <c r="E12" s="848">
        <v>76.099999999999994</v>
      </c>
      <c r="F12" s="844">
        <v>43887</v>
      </c>
      <c r="G12" s="213"/>
      <c r="H12" s="227"/>
      <c r="I12" s="215"/>
      <c r="J12" s="229"/>
      <c r="K12" s="217"/>
      <c r="L12" s="231"/>
      <c r="M12" s="219"/>
      <c r="N12" s="233"/>
      <c r="O12" s="221"/>
      <c r="P12" s="235"/>
      <c r="Q12" s="223"/>
      <c r="R12" s="237"/>
    </row>
    <row r="13" spans="1:18" x14ac:dyDescent="0.25">
      <c r="B13" s="12" t="s">
        <v>59</v>
      </c>
      <c r="C13" s="793" t="s">
        <v>41</v>
      </c>
      <c r="D13" s="279" cm="1">
        <f t="array" aca="1" ref="D13" ca="1">INDIRECT(ADDRESS(ROW(),MATCH(MAX(F13,H13,J13,L13,N13,P13,R13),E13:R13,0)-1+COLUMNS(A13:D13),4))</f>
        <v>119.2</v>
      </c>
      <c r="E13" s="848">
        <v>119.2</v>
      </c>
      <c r="F13" s="844">
        <v>44253</v>
      </c>
      <c r="G13" s="213"/>
      <c r="H13" s="227"/>
      <c r="I13" s="215"/>
      <c r="J13" s="229"/>
      <c r="K13" s="217"/>
      <c r="L13" s="231"/>
      <c r="M13" s="219"/>
      <c r="N13" s="233"/>
      <c r="O13" s="221"/>
      <c r="P13" s="235"/>
      <c r="Q13" s="223"/>
      <c r="R13" s="237"/>
    </row>
    <row r="14" spans="1:18" x14ac:dyDescent="0.25">
      <c r="B14" s="12" t="s">
        <v>60</v>
      </c>
      <c r="C14" s="793" t="s">
        <v>41</v>
      </c>
      <c r="D14" s="279" cm="1">
        <f t="array" aca="1" ref="D14" ca="1">INDIRECT(ADDRESS(ROW(),MATCH(MAX(F14,H14,J14,L14,N14,P14,R14),E14:R14,0)-1+COLUMNS(A14:D14),4))</f>
        <v>114.7</v>
      </c>
      <c r="E14" s="848">
        <v>114.7</v>
      </c>
      <c r="F14" s="844">
        <v>44618</v>
      </c>
      <c r="G14" s="213"/>
      <c r="H14" s="227"/>
      <c r="I14" s="215"/>
      <c r="J14" s="229"/>
      <c r="K14" s="217"/>
      <c r="L14" s="231"/>
      <c r="M14" s="219"/>
      <c r="N14" s="233"/>
      <c r="O14" s="221"/>
      <c r="P14" s="235"/>
      <c r="Q14" s="223"/>
      <c r="R14" s="237"/>
    </row>
    <row r="15" spans="1:18" ht="15.75" thickBot="1" x14ac:dyDescent="0.3">
      <c r="B15" s="19" t="s">
        <v>399</v>
      </c>
      <c r="C15" s="794" t="s">
        <v>41</v>
      </c>
      <c r="D15" s="757" cm="1">
        <f t="array" aca="1" ref="D15" ca="1">INDIRECT(ADDRESS(ROW(),MATCH(MAX(F15,H15,J15,L15,N15,P15,R15),E15:R15,0)-1+COLUMNS(A15:D15),4))</f>
        <v>116.32</v>
      </c>
      <c r="E15" s="849">
        <v>116.32</v>
      </c>
      <c r="F15" s="845">
        <v>44819</v>
      </c>
      <c r="G15" s="244"/>
      <c r="H15" s="673"/>
      <c r="I15" s="246"/>
      <c r="J15" s="674"/>
      <c r="K15" s="248"/>
      <c r="L15" s="675"/>
      <c r="M15" s="250"/>
      <c r="N15" s="676"/>
      <c r="O15" s="252"/>
      <c r="P15" s="677"/>
      <c r="Q15" s="254"/>
      <c r="R15" s="678"/>
    </row>
    <row r="17" spans="2:19" ht="15.75" thickBot="1" x14ac:dyDescent="0.3"/>
    <row r="18" spans="2:19" ht="16.5" thickBot="1" x14ac:dyDescent="0.3">
      <c r="B18" s="937" t="s">
        <v>239</v>
      </c>
      <c r="C18" s="938"/>
      <c r="D18" s="939"/>
      <c r="E18" s="770"/>
      <c r="F18" s="101"/>
      <c r="G18" s="101"/>
    </row>
    <row r="19" spans="2:19" x14ac:dyDescent="0.25">
      <c r="B19" s="946" t="s">
        <v>28</v>
      </c>
      <c r="C19" s="948" t="s">
        <v>29</v>
      </c>
      <c r="D19" s="105" t="s">
        <v>180</v>
      </c>
      <c r="E19" s="769" t="s">
        <v>418</v>
      </c>
      <c r="F19" s="122" t="s">
        <v>178</v>
      </c>
      <c r="G19" s="950" t="s">
        <v>39</v>
      </c>
      <c r="H19" s="126" t="s">
        <v>178</v>
      </c>
      <c r="I19" s="942" t="s">
        <v>39</v>
      </c>
      <c r="J19" s="130" t="s">
        <v>178</v>
      </c>
      <c r="K19" s="944" t="s">
        <v>39</v>
      </c>
      <c r="L19" s="132" t="s">
        <v>178</v>
      </c>
      <c r="M19" s="931" t="s">
        <v>39</v>
      </c>
      <c r="N19" s="134" t="s">
        <v>178</v>
      </c>
      <c r="O19" s="929" t="s">
        <v>39</v>
      </c>
      <c r="P19" s="136" t="s">
        <v>178</v>
      </c>
      <c r="Q19" s="927" t="s">
        <v>39</v>
      </c>
      <c r="R19" s="138" t="s">
        <v>178</v>
      </c>
      <c r="S19" s="933" t="s">
        <v>39</v>
      </c>
    </row>
    <row r="20" spans="2:19" ht="15.75" thickBot="1" x14ac:dyDescent="0.3">
      <c r="B20" s="947"/>
      <c r="C20" s="949"/>
      <c r="D20" s="52"/>
      <c r="E20" s="278" t="s">
        <v>419</v>
      </c>
      <c r="F20" s="123" t="s">
        <v>179</v>
      </c>
      <c r="G20" s="951"/>
      <c r="H20" s="127" t="s">
        <v>179</v>
      </c>
      <c r="I20" s="943"/>
      <c r="J20" s="131" t="s">
        <v>179</v>
      </c>
      <c r="K20" s="945"/>
      <c r="L20" s="133" t="s">
        <v>179</v>
      </c>
      <c r="M20" s="932"/>
      <c r="N20" s="135" t="s">
        <v>179</v>
      </c>
      <c r="O20" s="930"/>
      <c r="P20" s="137" t="s">
        <v>179</v>
      </c>
      <c r="Q20" s="928"/>
      <c r="R20" s="139" t="s">
        <v>179</v>
      </c>
      <c r="S20" s="934"/>
    </row>
    <row r="21" spans="2:19" x14ac:dyDescent="0.25">
      <c r="B21" s="3" t="s">
        <v>87</v>
      </c>
      <c r="C21" s="283" t="s">
        <v>88</v>
      </c>
      <c r="D21" s="826">
        <f>17.52</f>
        <v>17.52</v>
      </c>
      <c r="E21" s="850" cm="1">
        <f t="array" aca="1" ref="E21" ca="1">INDIRECT(ADDRESS(ROW(),MATCH(MAX(G21,I21,K21,M21,O21,Q21,S21),F21:S21,0)-1+COLUMNS(A21:E21),4))</f>
        <v>288.81</v>
      </c>
      <c r="F21" s="780">
        <v>288.81</v>
      </c>
      <c r="G21" s="171">
        <v>44727</v>
      </c>
      <c r="H21" s="213"/>
      <c r="I21" s="227"/>
      <c r="J21" s="215"/>
      <c r="K21" s="229"/>
      <c r="L21" s="217"/>
      <c r="M21" s="231"/>
      <c r="N21" s="219"/>
      <c r="O21" s="233"/>
      <c r="P21" s="221"/>
      <c r="Q21" s="235"/>
      <c r="R21" s="223"/>
      <c r="S21" s="237"/>
    </row>
    <row r="22" spans="2:19" x14ac:dyDescent="0.25">
      <c r="B22" s="3" t="s">
        <v>89</v>
      </c>
      <c r="C22" s="283" t="s">
        <v>88</v>
      </c>
      <c r="D22" s="414">
        <v>22.14</v>
      </c>
      <c r="E22" s="851" cm="1">
        <f t="array" aca="1" ref="E22" ca="1">INDIRECT(ADDRESS(ROW(),MATCH(MAX(G22,I22,K22,M22,O22,Q22,S22),F22:S22,0)-1+COLUMNS(A22:E22),4))</f>
        <v>310</v>
      </c>
      <c r="F22" s="780">
        <f>310</f>
        <v>310</v>
      </c>
      <c r="G22" s="171">
        <v>43801</v>
      </c>
      <c r="H22" s="213"/>
      <c r="I22" s="227"/>
      <c r="J22" s="215"/>
      <c r="K22" s="229"/>
      <c r="L22" s="217"/>
      <c r="M22" s="231"/>
      <c r="N22" s="219"/>
      <c r="O22" s="233"/>
      <c r="P22" s="221"/>
      <c r="Q22" s="235"/>
      <c r="R22" s="223"/>
      <c r="S22" s="237"/>
    </row>
    <row r="23" spans="2:19" ht="15.75" thickBot="1" x14ac:dyDescent="0.3">
      <c r="B23" s="4" t="s">
        <v>148</v>
      </c>
      <c r="C23" s="290" t="s">
        <v>88</v>
      </c>
      <c r="D23" s="827">
        <v>34.069000000000003</v>
      </c>
      <c r="E23" s="852" cm="1">
        <f t="array" aca="1" ref="E23" ca="1">INDIRECT(ADDRESS(ROW(),MATCH(MAX(G23,I23,K23,M23,O23,Q23,S23),F23:S23,0)-1+COLUMNS(A23:E23),4))</f>
        <v>281.82</v>
      </c>
      <c r="F23" s="768">
        <v>281.82</v>
      </c>
      <c r="G23" s="200">
        <v>44272</v>
      </c>
      <c r="H23" s="284"/>
      <c r="I23" s="245"/>
      <c r="J23" s="285"/>
      <c r="K23" s="247"/>
      <c r="L23" s="286"/>
      <c r="M23" s="249"/>
      <c r="N23" s="287"/>
      <c r="O23" s="251"/>
      <c r="P23" s="288"/>
      <c r="Q23" s="253"/>
      <c r="R23" s="289"/>
      <c r="S23" s="255"/>
    </row>
  </sheetData>
  <mergeCells count="20">
    <mergeCell ref="S19:S20"/>
    <mergeCell ref="R4:R5"/>
    <mergeCell ref="B18:D18"/>
    <mergeCell ref="B19:B20"/>
    <mergeCell ref="C19:C20"/>
    <mergeCell ref="G19:G20"/>
    <mergeCell ref="I19:I20"/>
    <mergeCell ref="H4:H5"/>
    <mergeCell ref="J4:J5"/>
    <mergeCell ref="L4:L5"/>
    <mergeCell ref="N4:N5"/>
    <mergeCell ref="P4:P5"/>
    <mergeCell ref="K19:K20"/>
    <mergeCell ref="M19:M20"/>
    <mergeCell ref="O19:O20"/>
    <mergeCell ref="Q19:Q20"/>
    <mergeCell ref="B3:C3"/>
    <mergeCell ref="B4:B5"/>
    <mergeCell ref="C4:C5"/>
    <mergeCell ref="F4:F5"/>
  </mergeCells>
  <phoneticPr fontId="2" type="noConversion"/>
  <hyperlinks>
    <hyperlink ref="A1" location="CUPRINS!A1" display="CUPRINS" xr:uid="{5FA80FA2-A20E-4246-B264-50C02A6312BB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951F3-DE59-4ACF-8224-FF661501B16F}">
  <sheetPr codeName="Sheet17"/>
  <dimension ref="A1:R8"/>
  <sheetViews>
    <sheetView workbookViewId="0"/>
  </sheetViews>
  <sheetFormatPr defaultRowHeight="15" x14ac:dyDescent="0.25"/>
  <cols>
    <col min="1" max="1" width="29.140625" customWidth="1"/>
    <col min="2" max="2" width="29.28515625" customWidth="1"/>
    <col min="4" max="4" width="21.140625" customWidth="1"/>
    <col min="5" max="5" width="16.7109375" customWidth="1"/>
    <col min="6" max="6" width="10.28515625" customWidth="1"/>
    <col min="7" max="7" width="17.140625" customWidth="1"/>
    <col min="8" max="8" width="12.140625" customWidth="1"/>
    <col min="9" max="9" width="17.140625" customWidth="1"/>
    <col min="10" max="10" width="13.42578125" customWidth="1"/>
    <col min="11" max="11" width="13.7109375" customWidth="1"/>
    <col min="12" max="12" width="14.7109375" customWidth="1"/>
    <col min="13" max="13" width="14.85546875" customWidth="1"/>
    <col min="14" max="14" width="14.5703125" customWidth="1"/>
    <col min="15" max="15" width="18" customWidth="1"/>
    <col min="16" max="16" width="14.42578125" customWidth="1"/>
    <col min="17" max="17" width="13.7109375" customWidth="1"/>
    <col min="18" max="18" width="14.5703125" customWidth="1"/>
  </cols>
  <sheetData>
    <row r="1" spans="1:18" ht="15.75" thickBot="1" x14ac:dyDescent="0.3">
      <c r="A1" s="445" t="s">
        <v>199</v>
      </c>
    </row>
    <row r="2" spans="1:18" ht="16.5" thickBot="1" x14ac:dyDescent="0.3">
      <c r="B2" s="937" t="s">
        <v>241</v>
      </c>
      <c r="C2" s="939"/>
      <c r="D2" s="770"/>
      <c r="E2" s="101"/>
    </row>
    <row r="3" spans="1:18" x14ac:dyDescent="0.25">
      <c r="B3" s="946" t="s">
        <v>28</v>
      </c>
      <c r="C3" s="948" t="s">
        <v>29</v>
      </c>
      <c r="D3" s="769" t="s">
        <v>418</v>
      </c>
      <c r="E3" s="122" t="s">
        <v>178</v>
      </c>
      <c r="F3" s="940" t="s">
        <v>39</v>
      </c>
      <c r="G3" s="126" t="s">
        <v>178</v>
      </c>
      <c r="H3" s="942" t="s">
        <v>39</v>
      </c>
      <c r="I3" s="130" t="s">
        <v>178</v>
      </c>
      <c r="J3" s="944" t="s">
        <v>39</v>
      </c>
      <c r="K3" s="132" t="s">
        <v>178</v>
      </c>
      <c r="L3" s="931" t="s">
        <v>39</v>
      </c>
      <c r="M3" s="134" t="s">
        <v>178</v>
      </c>
      <c r="N3" s="929" t="s">
        <v>39</v>
      </c>
      <c r="O3" s="136" t="s">
        <v>178</v>
      </c>
      <c r="P3" s="927" t="s">
        <v>39</v>
      </c>
      <c r="Q3" s="138" t="s">
        <v>178</v>
      </c>
      <c r="R3" s="933" t="s">
        <v>39</v>
      </c>
    </row>
    <row r="4" spans="1:18" ht="15.75" thickBot="1" x14ac:dyDescent="0.3">
      <c r="B4" s="947"/>
      <c r="C4" s="949"/>
      <c r="D4" s="278" t="s">
        <v>419</v>
      </c>
      <c r="E4" s="123" t="s">
        <v>179</v>
      </c>
      <c r="F4" s="941"/>
      <c r="G4" s="127" t="s">
        <v>179</v>
      </c>
      <c r="H4" s="943"/>
      <c r="I4" s="131" t="s">
        <v>179</v>
      </c>
      <c r="J4" s="945"/>
      <c r="K4" s="133" t="s">
        <v>179</v>
      </c>
      <c r="L4" s="932"/>
      <c r="M4" s="135" t="s">
        <v>179</v>
      </c>
      <c r="N4" s="930"/>
      <c r="O4" s="137" t="s">
        <v>179</v>
      </c>
      <c r="P4" s="928"/>
      <c r="Q4" s="139" t="s">
        <v>179</v>
      </c>
      <c r="R4" s="934"/>
    </row>
    <row r="5" spans="1:18" x14ac:dyDescent="0.25">
      <c r="A5" s="441" t="s">
        <v>461</v>
      </c>
      <c r="B5" s="41" t="s">
        <v>460</v>
      </c>
      <c r="C5" s="98" t="s">
        <v>41</v>
      </c>
      <c r="D5" s="279" cm="1">
        <f t="array" aca="1" ref="D5" ca="1">INDIRECT(ADDRESS(ROW(),MATCH(MAX(F5,H5,J5,L5,N5,P5,R5),E5:R5,0)-1+COLUMNS(A5:D5),4))</f>
        <v>22.6</v>
      </c>
      <c r="E5" s="880">
        <f>22.6</f>
        <v>22.6</v>
      </c>
      <c r="F5" s="196">
        <v>45037</v>
      </c>
      <c r="G5" s="213"/>
      <c r="H5" s="227"/>
      <c r="I5" s="215"/>
      <c r="J5" s="229"/>
      <c r="K5" s="217"/>
      <c r="L5" s="231"/>
      <c r="M5" s="219"/>
      <c r="N5" s="233"/>
      <c r="O5" s="221"/>
      <c r="P5" s="235"/>
      <c r="Q5" s="223"/>
      <c r="R5" s="237"/>
    </row>
    <row r="6" spans="1:18" x14ac:dyDescent="0.25">
      <c r="B6" s="41" t="s">
        <v>108</v>
      </c>
      <c r="C6" s="98" t="s">
        <v>41</v>
      </c>
      <c r="D6" s="279" cm="1">
        <f t="array" aca="1" ref="D6" ca="1">INDIRECT(ADDRESS(ROW(),MATCH(MAX(F6,H6,J6,L6,N6,P6,R6),E6:R6,0)-1+COLUMNS(A6:D6),4))</f>
        <v>28</v>
      </c>
      <c r="E6" s="372">
        <f>28</f>
        <v>28</v>
      </c>
      <c r="F6" s="156">
        <v>44203</v>
      </c>
      <c r="G6" s="213"/>
      <c r="H6" s="227"/>
      <c r="I6" s="215"/>
      <c r="J6" s="229"/>
      <c r="K6" s="217"/>
      <c r="L6" s="231"/>
      <c r="M6" s="219"/>
      <c r="N6" s="233"/>
      <c r="O6" s="221"/>
      <c r="P6" s="235"/>
      <c r="Q6" s="223"/>
      <c r="R6" s="237"/>
    </row>
    <row r="7" spans="1:18" x14ac:dyDescent="0.25">
      <c r="B7" s="3" t="s">
        <v>109</v>
      </c>
      <c r="C7" s="97" t="s">
        <v>41</v>
      </c>
      <c r="D7" s="855" cm="1">
        <f t="array" aca="1" ref="D7" ca="1">INDIRECT(ADDRESS(ROW(),MATCH(MAX(F7,H7,J7,L7,N7,P7,R7),E7:R7,0)-1+COLUMNS(A7:D7),4))</f>
        <v>58</v>
      </c>
      <c r="E7" s="292">
        <f>5800/100</f>
        <v>58</v>
      </c>
      <c r="F7" s="171">
        <v>43164</v>
      </c>
      <c r="G7" s="213"/>
      <c r="H7" s="227"/>
      <c r="I7" s="215"/>
      <c r="J7" s="229"/>
      <c r="K7" s="217"/>
      <c r="L7" s="231"/>
      <c r="M7" s="219"/>
      <c r="N7" s="233"/>
      <c r="O7" s="221"/>
      <c r="P7" s="235"/>
      <c r="Q7" s="223"/>
      <c r="R7" s="237"/>
    </row>
    <row r="8" spans="1:18" ht="15.75" thickBot="1" x14ac:dyDescent="0.3">
      <c r="B8" s="4" t="s">
        <v>131</v>
      </c>
      <c r="C8" s="853" t="s">
        <v>41</v>
      </c>
      <c r="D8" s="751" cm="1">
        <f t="array" aca="1" ref="D8" ca="1">INDIRECT(ADDRESS(ROW(),MATCH(MAX(F8,H8,J8,L8,N8,P8,R8),E8:R8,0)-1+COLUMNS(A8:D8),4))</f>
        <v>20</v>
      </c>
      <c r="E8" s="293">
        <v>20</v>
      </c>
      <c r="F8" s="195">
        <v>44243</v>
      </c>
      <c r="G8" s="284"/>
      <c r="H8" s="245"/>
      <c r="I8" s="285"/>
      <c r="J8" s="247"/>
      <c r="K8" s="286"/>
      <c r="L8" s="249"/>
      <c r="M8" s="287"/>
      <c r="N8" s="251"/>
      <c r="O8" s="288"/>
      <c r="P8" s="253"/>
      <c r="Q8" s="289"/>
      <c r="R8" s="255"/>
    </row>
  </sheetData>
  <mergeCells count="10">
    <mergeCell ref="B2:C2"/>
    <mergeCell ref="B3:B4"/>
    <mergeCell ref="C3:C4"/>
    <mergeCell ref="F3:F4"/>
    <mergeCell ref="R3:R4"/>
    <mergeCell ref="H3:H4"/>
    <mergeCell ref="J3:J4"/>
    <mergeCell ref="L3:L4"/>
    <mergeCell ref="N3:N4"/>
    <mergeCell ref="P3:P4"/>
  </mergeCells>
  <hyperlinks>
    <hyperlink ref="A1" location="CUPRINS!A1" display="CUPRINS" xr:uid="{C239B40F-08D8-480E-8FA8-4CA0DBF7EC61}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59007-9E4B-4A93-9983-2BF0492B452F}">
  <sheetPr codeName="Sheet20"/>
  <dimension ref="A1:S64"/>
  <sheetViews>
    <sheetView workbookViewId="0"/>
  </sheetViews>
  <sheetFormatPr defaultRowHeight="15" x14ac:dyDescent="0.25"/>
  <cols>
    <col min="2" max="2" width="56.85546875" customWidth="1"/>
    <col min="3" max="3" width="10" customWidth="1"/>
    <col min="4" max="4" width="20" customWidth="1"/>
    <col min="5" max="5" width="14" customWidth="1"/>
    <col min="6" max="6" width="13.5703125" customWidth="1"/>
    <col min="7" max="7" width="11.28515625" customWidth="1"/>
    <col min="8" max="8" width="14.28515625" customWidth="1"/>
    <col min="9" max="9" width="14.85546875" customWidth="1"/>
    <col min="10" max="10" width="14.5703125" customWidth="1"/>
    <col min="11" max="11" width="13.42578125" customWidth="1"/>
    <col min="12" max="12" width="12.28515625" customWidth="1"/>
    <col min="13" max="13" width="13.42578125" customWidth="1"/>
    <col min="14" max="14" width="13.85546875" customWidth="1"/>
    <col min="15" max="15" width="14.28515625" customWidth="1"/>
    <col min="16" max="16" width="12.28515625" customWidth="1"/>
    <col min="17" max="17" width="12.85546875" customWidth="1"/>
  </cols>
  <sheetData>
    <row r="1" spans="1:18" ht="15.75" thickBot="1" x14ac:dyDescent="0.3">
      <c r="A1" s="445" t="s">
        <v>199</v>
      </c>
    </row>
    <row r="2" spans="1:18" ht="16.5" thickBot="1" x14ac:dyDescent="0.3">
      <c r="B2" s="937" t="s">
        <v>246</v>
      </c>
      <c r="C2" s="939"/>
      <c r="D2" s="101"/>
    </row>
    <row r="3" spans="1:18" x14ac:dyDescent="0.25">
      <c r="B3" s="946" t="s">
        <v>28</v>
      </c>
      <c r="C3" s="948" t="s">
        <v>29</v>
      </c>
      <c r="D3" s="769" t="s">
        <v>418</v>
      </c>
      <c r="E3" s="122" t="s">
        <v>178</v>
      </c>
      <c r="F3" s="940" t="s">
        <v>39</v>
      </c>
      <c r="G3" s="126" t="s">
        <v>178</v>
      </c>
      <c r="H3" s="942" t="s">
        <v>39</v>
      </c>
      <c r="I3" s="130" t="s">
        <v>178</v>
      </c>
      <c r="J3" s="944" t="s">
        <v>39</v>
      </c>
      <c r="K3" s="132" t="s">
        <v>178</v>
      </c>
      <c r="L3" s="931" t="s">
        <v>39</v>
      </c>
      <c r="M3" s="134" t="s">
        <v>178</v>
      </c>
      <c r="N3" s="929" t="s">
        <v>39</v>
      </c>
      <c r="O3" s="136" t="s">
        <v>178</v>
      </c>
      <c r="P3" s="927" t="s">
        <v>39</v>
      </c>
      <c r="Q3" s="138" t="s">
        <v>178</v>
      </c>
      <c r="R3" s="933" t="s">
        <v>39</v>
      </c>
    </row>
    <row r="4" spans="1:18" ht="15.75" thickBot="1" x14ac:dyDescent="0.3">
      <c r="B4" s="954"/>
      <c r="C4" s="955"/>
      <c r="D4" s="788" t="s">
        <v>419</v>
      </c>
      <c r="E4" s="325" t="s">
        <v>179</v>
      </c>
      <c r="F4" s="1005"/>
      <c r="G4" s="313" t="s">
        <v>179</v>
      </c>
      <c r="H4" s="1006"/>
      <c r="I4" s="314" t="s">
        <v>179</v>
      </c>
      <c r="J4" s="998"/>
      <c r="K4" s="315" t="s">
        <v>179</v>
      </c>
      <c r="L4" s="999"/>
      <c r="M4" s="316" t="s">
        <v>179</v>
      </c>
      <c r="N4" s="1000"/>
      <c r="O4" s="317" t="s">
        <v>179</v>
      </c>
      <c r="P4" s="1001"/>
      <c r="Q4" s="318" t="s">
        <v>179</v>
      </c>
      <c r="R4" s="1004"/>
    </row>
    <row r="5" spans="1:18" ht="17.25" x14ac:dyDescent="0.25">
      <c r="A5" s="378"/>
      <c r="B5" s="48" t="s">
        <v>183</v>
      </c>
      <c r="C5" s="346" t="s">
        <v>184</v>
      </c>
      <c r="D5" s="375" cm="1">
        <f t="array" aca="1" ref="D5" ca="1">INDIRECT(ADDRESS(ROW(),MATCH(MAX(F5,H5,J5,L5,N5,P5,R5),E5:R5,0)-1+COLUMNS(A5:D5),4))</f>
        <v>48.2</v>
      </c>
      <c r="E5" s="779">
        <v>48.24</v>
      </c>
      <c r="F5" s="282">
        <v>44932</v>
      </c>
      <c r="G5" s="347">
        <v>48.17</v>
      </c>
      <c r="H5" s="326">
        <v>44945</v>
      </c>
      <c r="I5" s="327">
        <v>48.2</v>
      </c>
      <c r="J5" s="328">
        <v>44993</v>
      </c>
      <c r="K5" s="329">
        <v>47.93</v>
      </c>
      <c r="L5" s="330">
        <v>45049</v>
      </c>
      <c r="M5" s="331">
        <v>48.06</v>
      </c>
      <c r="N5" s="332">
        <v>45061</v>
      </c>
      <c r="O5" s="333">
        <v>48.3</v>
      </c>
      <c r="P5" s="334">
        <v>45148</v>
      </c>
      <c r="Q5" s="335">
        <v>48.2</v>
      </c>
      <c r="R5" s="212">
        <v>45169</v>
      </c>
    </row>
    <row r="6" spans="1:18" ht="18" thickBot="1" x14ac:dyDescent="0.3">
      <c r="B6" s="14" t="s">
        <v>346</v>
      </c>
      <c r="C6" s="187" t="s">
        <v>184</v>
      </c>
      <c r="D6" s="757" cm="1">
        <f t="array" aca="1" ref="D6" ca="1">INDIRECT(ADDRESS(ROW(),MATCH(MAX(F6,H6,J6,L6,N6,P6,R6),E6:R6,0)-1+COLUMNS(A6:D6),4))</f>
        <v>60</v>
      </c>
      <c r="E6" s="819">
        <v>27</v>
      </c>
      <c r="F6" s="195">
        <v>44379</v>
      </c>
      <c r="G6" s="348">
        <v>61.213999999999999</v>
      </c>
      <c r="H6" s="336">
        <v>44529</v>
      </c>
      <c r="I6" s="337">
        <v>60</v>
      </c>
      <c r="J6" s="338">
        <v>44607</v>
      </c>
      <c r="K6" s="339">
        <v>59</v>
      </c>
      <c r="L6" s="340">
        <v>44700</v>
      </c>
      <c r="M6" s="341">
        <v>60</v>
      </c>
      <c r="N6" s="342">
        <v>44932</v>
      </c>
      <c r="O6" s="343"/>
      <c r="P6" s="344"/>
      <c r="Q6" s="345"/>
      <c r="R6" s="255"/>
    </row>
    <row r="7" spans="1:18" x14ac:dyDescent="0.25">
      <c r="D7" s="43"/>
      <c r="G7" t="s">
        <v>292</v>
      </c>
    </row>
    <row r="8" spans="1:18" ht="15.75" thickBot="1" x14ac:dyDescent="0.3">
      <c r="D8" s="43"/>
    </row>
    <row r="9" spans="1:18" ht="16.5" thickBot="1" x14ac:dyDescent="0.3">
      <c r="B9" s="937" t="s">
        <v>245</v>
      </c>
      <c r="C9" s="939"/>
      <c r="D9" s="854"/>
      <c r="E9" s="101"/>
    </row>
    <row r="10" spans="1:18" x14ac:dyDescent="0.25">
      <c r="B10" s="946" t="s">
        <v>28</v>
      </c>
      <c r="C10" s="948" t="s">
        <v>29</v>
      </c>
      <c r="D10" s="769" t="s">
        <v>418</v>
      </c>
      <c r="E10" s="122" t="s">
        <v>178</v>
      </c>
      <c r="F10" s="940" t="s">
        <v>39</v>
      </c>
      <c r="G10" s="126" t="s">
        <v>178</v>
      </c>
      <c r="H10" s="952" t="s">
        <v>39</v>
      </c>
      <c r="I10" s="130" t="s">
        <v>178</v>
      </c>
      <c r="J10" s="944" t="s">
        <v>39</v>
      </c>
      <c r="K10" s="132" t="s">
        <v>178</v>
      </c>
      <c r="L10" s="931" t="s">
        <v>39</v>
      </c>
      <c r="M10" s="134" t="s">
        <v>178</v>
      </c>
      <c r="N10" s="929" t="s">
        <v>39</v>
      </c>
      <c r="O10" s="136" t="s">
        <v>178</v>
      </c>
      <c r="P10" s="927" t="s">
        <v>39</v>
      </c>
      <c r="Q10" s="138" t="s">
        <v>178</v>
      </c>
      <c r="R10" s="933" t="s">
        <v>39</v>
      </c>
    </row>
    <row r="11" spans="1:18" ht="15.75" thickBot="1" x14ac:dyDescent="0.3">
      <c r="B11" s="947"/>
      <c r="C11" s="949"/>
      <c r="D11" s="788" t="s">
        <v>419</v>
      </c>
      <c r="E11" s="123" t="s">
        <v>179</v>
      </c>
      <c r="F11" s="941"/>
      <c r="G11" s="127" t="s">
        <v>179</v>
      </c>
      <c r="H11" s="953"/>
      <c r="I11" s="131" t="s">
        <v>179</v>
      </c>
      <c r="J11" s="945"/>
      <c r="K11" s="133" t="s">
        <v>179</v>
      </c>
      <c r="L11" s="932"/>
      <c r="M11" s="135" t="s">
        <v>179</v>
      </c>
      <c r="N11" s="930"/>
      <c r="O11" s="137" t="s">
        <v>179</v>
      </c>
      <c r="P11" s="928"/>
      <c r="Q11" s="139" t="s">
        <v>179</v>
      </c>
      <c r="R11" s="934"/>
    </row>
    <row r="12" spans="1:18" ht="15.75" x14ac:dyDescent="0.25">
      <c r="B12" s="695" t="s">
        <v>408</v>
      </c>
      <c r="C12" s="291" t="s">
        <v>4</v>
      </c>
      <c r="D12" s="745" cm="1">
        <f t="array" aca="1" ref="D12" ca="1">INDIRECT(ADDRESS(ROW(),MATCH(MAX(F12,H12,J12,L12,N12,P12,R12),E12:R12,0)-1+COLUMNS(A12:D12),4))</f>
        <v>10.1</v>
      </c>
      <c r="E12" s="780">
        <v>11.2</v>
      </c>
      <c r="F12" s="613">
        <v>44524</v>
      </c>
      <c r="G12" s="585">
        <v>12.2</v>
      </c>
      <c r="H12" s="586">
        <v>44644</v>
      </c>
      <c r="I12" s="720">
        <v>13.73</v>
      </c>
      <c r="J12" s="721">
        <v>44687</v>
      </c>
      <c r="K12" s="587">
        <v>14</v>
      </c>
      <c r="L12" s="722">
        <v>44789</v>
      </c>
      <c r="M12" s="723">
        <v>10</v>
      </c>
      <c r="N12" s="724">
        <v>44811</v>
      </c>
      <c r="O12" s="588">
        <v>11</v>
      </c>
      <c r="P12" s="589">
        <v>44930</v>
      </c>
      <c r="Q12" s="725">
        <v>10.1</v>
      </c>
      <c r="R12" s="726">
        <v>44932</v>
      </c>
    </row>
    <row r="13" spans="1:18" ht="15.75" x14ac:dyDescent="0.25">
      <c r="B13" s="694" t="s">
        <v>409</v>
      </c>
      <c r="C13" s="349" t="s">
        <v>4</v>
      </c>
      <c r="D13" s="279" cm="1">
        <f t="array" aca="1" ref="D13" ca="1">INDIRECT(ADDRESS(ROW(),MATCH(MAX(F13,H13,J13,L13,N13,P13,R13),E13:R13,0)-1+COLUMNS(A13:D13),4))</f>
        <v>8.1999999999999993</v>
      </c>
      <c r="E13" s="766">
        <v>17.2</v>
      </c>
      <c r="F13" s="102">
        <v>44936</v>
      </c>
      <c r="G13" s="554">
        <v>10</v>
      </c>
      <c r="H13" s="555">
        <v>44993</v>
      </c>
      <c r="I13" s="716">
        <v>10.199999999999999</v>
      </c>
      <c r="J13" s="717">
        <v>45148</v>
      </c>
      <c r="K13" s="587">
        <v>10.3</v>
      </c>
      <c r="L13" s="722">
        <v>45163</v>
      </c>
      <c r="M13" s="560">
        <v>10.199999999999999</v>
      </c>
      <c r="N13" s="662">
        <v>45169</v>
      </c>
      <c r="O13" s="562">
        <v>8.1999999999999993</v>
      </c>
      <c r="P13" s="663">
        <v>45197</v>
      </c>
      <c r="Q13" s="718"/>
      <c r="R13" s="719"/>
    </row>
    <row r="14" spans="1:18" x14ac:dyDescent="0.25">
      <c r="B14" s="8" t="s">
        <v>189</v>
      </c>
      <c r="C14" s="349" t="s">
        <v>4</v>
      </c>
      <c r="D14" s="279" cm="1">
        <f t="array" aca="1" ref="D14" ca="1">INDIRECT(ADDRESS(ROW(),MATCH(MAX(F14,H14,J14,L14,N14,P14,R14),E14:R14,0)-1+COLUMNS(A14:D14),4))</f>
        <v>100</v>
      </c>
      <c r="E14" s="856">
        <v>80</v>
      </c>
      <c r="F14" s="102">
        <v>44385</v>
      </c>
      <c r="G14" s="549">
        <v>100</v>
      </c>
      <c r="H14" s="606">
        <v>44932</v>
      </c>
      <c r="I14" s="418"/>
      <c r="J14" s="418"/>
      <c r="K14" s="419"/>
      <c r="L14" s="419"/>
      <c r="M14" s="420"/>
      <c r="N14" s="420"/>
      <c r="O14" s="421"/>
      <c r="P14" s="421"/>
      <c r="Q14" s="423"/>
      <c r="R14" s="423"/>
    </row>
    <row r="15" spans="1:18" x14ac:dyDescent="0.25">
      <c r="B15" s="33" t="s">
        <v>194</v>
      </c>
      <c r="C15" s="414" t="s">
        <v>41</v>
      </c>
      <c r="D15" s="279" cm="1">
        <f t="array" aca="1" ref="D15" ca="1">INDIRECT(ADDRESS(ROW(),MATCH(MAX(F15,H15,J15,L15,N15,P15,R15),E15:R15,0)-1+COLUMNS(A15:D15),4))</f>
        <v>92</v>
      </c>
      <c r="E15" s="857">
        <v>90.6</v>
      </c>
      <c r="F15" s="432">
        <v>44228</v>
      </c>
      <c r="G15" s="549">
        <v>92</v>
      </c>
      <c r="H15" s="479">
        <v>44606</v>
      </c>
      <c r="I15" s="418"/>
      <c r="J15" s="418"/>
      <c r="K15" s="419"/>
      <c r="L15" s="419"/>
      <c r="M15" s="420"/>
      <c r="N15" s="420"/>
      <c r="O15" s="421"/>
      <c r="P15" s="421"/>
      <c r="Q15" s="423"/>
      <c r="R15" s="423"/>
    </row>
    <row r="16" spans="1:18" x14ac:dyDescent="0.25">
      <c r="B16" s="33" t="s">
        <v>195</v>
      </c>
      <c r="C16" s="414" t="s">
        <v>41</v>
      </c>
      <c r="D16" s="279" cm="1">
        <f t="array" aca="1" ref="D16" ca="1">INDIRECT(ADDRESS(ROW(),MATCH(MAX(F16,H16,J16,L16,N16,P16,R16),E16:R16,0)-1+COLUMNS(A16:D16),4))</f>
        <v>63</v>
      </c>
      <c r="E16" s="857">
        <v>63</v>
      </c>
      <c r="F16" s="432">
        <v>44357</v>
      </c>
      <c r="G16" s="433"/>
      <c r="H16" s="433"/>
      <c r="I16" s="434"/>
      <c r="J16" s="434"/>
      <c r="K16" s="435"/>
      <c r="L16" s="435"/>
      <c r="M16" s="436"/>
      <c r="N16" s="436"/>
      <c r="O16" s="437"/>
      <c r="P16" s="437"/>
      <c r="Q16" s="438"/>
      <c r="R16" s="438"/>
    </row>
    <row r="17" spans="2:18" ht="15.75" thickBot="1" x14ac:dyDescent="0.3">
      <c r="B17" s="33" t="s">
        <v>196</v>
      </c>
      <c r="C17" s="414" t="s">
        <v>41</v>
      </c>
      <c r="D17" s="757" cm="1">
        <f t="array" aca="1" ref="D17" ca="1">INDIRECT(ADDRESS(ROW(),MATCH(MAX(F17,H17,J17,L17,N17,P17,R17),E17:R17,0)-1+COLUMNS(A17:D17),4))</f>
        <v>63</v>
      </c>
      <c r="E17" s="857">
        <v>63</v>
      </c>
      <c r="F17" s="432">
        <v>44357</v>
      </c>
      <c r="G17" s="433"/>
      <c r="H17" s="433"/>
      <c r="I17" s="434"/>
      <c r="J17" s="434"/>
      <c r="K17" s="435"/>
      <c r="L17" s="435"/>
      <c r="M17" s="436"/>
      <c r="N17" s="436"/>
      <c r="O17" s="437"/>
      <c r="P17" s="437"/>
      <c r="Q17" s="438"/>
      <c r="R17" s="438"/>
    </row>
    <row r="18" spans="2:18" ht="15.75" thickBot="1" x14ac:dyDescent="0.3">
      <c r="D18" s="43"/>
    </row>
    <row r="19" spans="2:18" ht="16.5" thickBot="1" x14ac:dyDescent="0.3">
      <c r="B19" s="937" t="s">
        <v>283</v>
      </c>
      <c r="C19" s="939"/>
      <c r="D19" s="43"/>
    </row>
    <row r="20" spans="2:18" x14ac:dyDescent="0.25">
      <c r="B20" s="946" t="s">
        <v>28</v>
      </c>
      <c r="C20" s="948" t="s">
        <v>29</v>
      </c>
      <c r="D20" s="769" t="s">
        <v>418</v>
      </c>
      <c r="E20" s="122" t="s">
        <v>178</v>
      </c>
      <c r="F20" s="940" t="s">
        <v>39</v>
      </c>
      <c r="G20" s="126" t="s">
        <v>178</v>
      </c>
      <c r="H20" s="942" t="s">
        <v>39</v>
      </c>
      <c r="I20" s="130" t="s">
        <v>178</v>
      </c>
      <c r="J20" s="944" t="s">
        <v>39</v>
      </c>
      <c r="K20" s="132" t="s">
        <v>178</v>
      </c>
      <c r="L20" s="931" t="s">
        <v>39</v>
      </c>
      <c r="M20" s="134" t="s">
        <v>178</v>
      </c>
      <c r="N20" s="929" t="s">
        <v>39</v>
      </c>
      <c r="O20" s="136" t="s">
        <v>178</v>
      </c>
      <c r="P20" s="927" t="s">
        <v>39</v>
      </c>
      <c r="Q20" s="138" t="s">
        <v>178</v>
      </c>
      <c r="R20" s="933" t="s">
        <v>39</v>
      </c>
    </row>
    <row r="21" spans="2:18" ht="15.75" thickBot="1" x14ac:dyDescent="0.3">
      <c r="B21" s="954"/>
      <c r="C21" s="955"/>
      <c r="D21" s="278" t="s">
        <v>419</v>
      </c>
      <c r="E21" s="123" t="s">
        <v>179</v>
      </c>
      <c r="F21" s="941"/>
      <c r="G21" s="127" t="s">
        <v>179</v>
      </c>
      <c r="H21" s="943"/>
      <c r="I21" s="131" t="s">
        <v>179</v>
      </c>
      <c r="J21" s="945"/>
      <c r="K21" s="133" t="s">
        <v>179</v>
      </c>
      <c r="L21" s="932"/>
      <c r="M21" s="135" t="s">
        <v>179</v>
      </c>
      <c r="N21" s="930"/>
      <c r="O21" s="137" t="s">
        <v>179</v>
      </c>
      <c r="P21" s="928"/>
      <c r="Q21" s="139" t="s">
        <v>179</v>
      </c>
      <c r="R21" s="934"/>
    </row>
    <row r="22" spans="2:18" x14ac:dyDescent="0.25">
      <c r="B22" s="48" t="s">
        <v>284</v>
      </c>
      <c r="C22" s="346" t="s">
        <v>4</v>
      </c>
      <c r="D22" s="375" cm="1">
        <f t="array" aca="1" ref="D22" ca="1">INDIRECT(ADDRESS(ROW(),MATCH(MAX(F22,H22,J22,L22,N22,P22,R22),E22:R22,0)-1+COLUMNS(A22:D22),4))</f>
        <v>19</v>
      </c>
      <c r="E22" s="281">
        <v>11.5</v>
      </c>
      <c r="F22" s="196">
        <v>44510</v>
      </c>
      <c r="G22" s="424">
        <v>13</v>
      </c>
      <c r="H22" s="55">
        <v>44894</v>
      </c>
      <c r="I22" s="527">
        <v>14.2</v>
      </c>
      <c r="J22" s="608">
        <v>44936</v>
      </c>
      <c r="K22" s="425">
        <v>19</v>
      </c>
      <c r="L22" s="206">
        <v>45154</v>
      </c>
      <c r="M22" s="610"/>
      <c r="N22" s="584"/>
      <c r="O22" s="427"/>
      <c r="P22" s="210"/>
      <c r="Q22" s="426"/>
      <c r="R22" s="422"/>
    </row>
    <row r="23" spans="2:18" ht="15.75" thickBot="1" x14ac:dyDescent="0.3">
      <c r="B23" s="14" t="s">
        <v>285</v>
      </c>
      <c r="C23" s="187" t="s">
        <v>41</v>
      </c>
      <c r="D23" s="757" cm="1">
        <f t="array" aca="1" ref="D23" ca="1">INDIRECT(ADDRESS(ROW(),MATCH(MAX(F23,H23,J23,L23,N23,P23,R23),E23:R23,0)-1+COLUMNS(A23:D23),4))</f>
        <v>8.6</v>
      </c>
      <c r="E23" s="305">
        <v>7.5</v>
      </c>
      <c r="F23" s="195">
        <v>44510</v>
      </c>
      <c r="G23" s="550">
        <v>6.8</v>
      </c>
      <c r="H23" s="489">
        <v>44606</v>
      </c>
      <c r="I23" s="590">
        <v>6.9</v>
      </c>
      <c r="J23" s="609">
        <v>44690</v>
      </c>
      <c r="K23" s="611">
        <v>7.5</v>
      </c>
      <c r="L23" s="74">
        <v>44894</v>
      </c>
      <c r="M23" s="895">
        <v>7.9</v>
      </c>
      <c r="N23" s="896">
        <v>44936</v>
      </c>
      <c r="O23" s="916">
        <v>8.6</v>
      </c>
      <c r="P23" s="88">
        <v>45154</v>
      </c>
      <c r="Q23" s="612"/>
      <c r="R23" s="591"/>
    </row>
    <row r="24" spans="2:18" ht="15.75" thickBot="1" x14ac:dyDescent="0.3">
      <c r="D24" s="43"/>
    </row>
    <row r="25" spans="2:18" ht="16.5" thickBot="1" x14ac:dyDescent="0.3">
      <c r="B25" s="937" t="s">
        <v>330</v>
      </c>
      <c r="C25" s="938"/>
      <c r="E25" s="101"/>
    </row>
    <row r="26" spans="2:18" x14ac:dyDescent="0.25">
      <c r="B26" s="946" t="s">
        <v>28</v>
      </c>
      <c r="C26" s="948" t="s">
        <v>29</v>
      </c>
      <c r="D26" s="769" t="s">
        <v>418</v>
      </c>
      <c r="E26" s="122" t="s">
        <v>178</v>
      </c>
      <c r="F26" s="940" t="s">
        <v>39</v>
      </c>
      <c r="G26" s="126" t="s">
        <v>178</v>
      </c>
      <c r="H26" s="942" t="s">
        <v>39</v>
      </c>
      <c r="I26" s="130" t="s">
        <v>178</v>
      </c>
      <c r="J26" s="944" t="s">
        <v>39</v>
      </c>
      <c r="K26" s="132" t="s">
        <v>178</v>
      </c>
      <c r="L26" s="931" t="s">
        <v>39</v>
      </c>
      <c r="M26" s="134" t="s">
        <v>178</v>
      </c>
      <c r="N26" s="929" t="s">
        <v>39</v>
      </c>
      <c r="O26" s="136" t="s">
        <v>178</v>
      </c>
      <c r="P26" s="927" t="s">
        <v>39</v>
      </c>
      <c r="Q26" s="138" t="s">
        <v>178</v>
      </c>
      <c r="R26" s="933" t="s">
        <v>39</v>
      </c>
    </row>
    <row r="27" spans="2:18" ht="15.75" thickBot="1" x14ac:dyDescent="0.3">
      <c r="B27" s="954"/>
      <c r="C27" s="955"/>
      <c r="D27" s="278" t="s">
        <v>419</v>
      </c>
      <c r="E27" s="325" t="s">
        <v>179</v>
      </c>
      <c r="F27" s="1005"/>
      <c r="G27" s="313" t="s">
        <v>179</v>
      </c>
      <c r="H27" s="1006"/>
      <c r="I27" s="314" t="s">
        <v>179</v>
      </c>
      <c r="J27" s="998"/>
      <c r="K27" s="315" t="s">
        <v>179</v>
      </c>
      <c r="L27" s="999"/>
      <c r="M27" s="316" t="s">
        <v>179</v>
      </c>
      <c r="N27" s="1000"/>
      <c r="O27" s="317" t="s">
        <v>179</v>
      </c>
      <c r="P27" s="1001"/>
      <c r="Q27" s="318" t="s">
        <v>179</v>
      </c>
      <c r="R27" s="1004"/>
    </row>
    <row r="28" spans="2:18" ht="18" thickBot="1" x14ac:dyDescent="0.3">
      <c r="B28" s="22" t="s">
        <v>331</v>
      </c>
      <c r="C28" s="346" t="s">
        <v>184</v>
      </c>
      <c r="D28" s="757" cm="1">
        <f t="array" aca="1" ref="D28" ca="1">INDIRECT(ADDRESS(ROW(),MATCH(MAX(F28,H28,J28,L28,N28,P28,R28),E28:R28,0)-1+COLUMNS(A28:D28),4))</f>
        <v>21.52</v>
      </c>
      <c r="E28" s="281">
        <v>21.52</v>
      </c>
      <c r="F28" s="282">
        <v>44684</v>
      </c>
      <c r="G28" s="347"/>
      <c r="H28" s="326"/>
      <c r="I28" s="327"/>
      <c r="J28" s="328"/>
      <c r="K28" s="329"/>
      <c r="L28" s="330"/>
      <c r="M28" s="331"/>
      <c r="N28" s="332"/>
      <c r="O28" s="333"/>
      <c r="P28" s="334"/>
      <c r="Q28" s="335"/>
      <c r="R28" s="212"/>
    </row>
    <row r="29" spans="2:18" x14ac:dyDescent="0.25">
      <c r="B29" s="583" t="s">
        <v>332</v>
      </c>
      <c r="D29" s="43"/>
    </row>
    <row r="30" spans="2:18" x14ac:dyDescent="0.25">
      <c r="B30" s="13" t="s">
        <v>333</v>
      </c>
      <c r="D30" s="43"/>
    </row>
    <row r="31" spans="2:18" x14ac:dyDescent="0.25">
      <c r="B31" s="13" t="s">
        <v>334</v>
      </c>
      <c r="D31" s="43"/>
    </row>
    <row r="32" spans="2:18" x14ac:dyDescent="0.25">
      <c r="B32" s="13" t="s">
        <v>335</v>
      </c>
      <c r="D32" s="43"/>
    </row>
    <row r="33" spans="2:19" x14ac:dyDescent="0.25">
      <c r="B33" s="13" t="s">
        <v>336</v>
      </c>
      <c r="D33" s="43"/>
    </row>
    <row r="34" spans="2:19" x14ac:dyDescent="0.25">
      <c r="B34" s="13" t="s">
        <v>337</v>
      </c>
      <c r="D34" s="43"/>
    </row>
    <row r="35" spans="2:19" x14ac:dyDescent="0.25">
      <c r="B35" s="13" t="s">
        <v>338</v>
      </c>
      <c r="D35" s="43"/>
    </row>
    <row r="36" spans="2:19" x14ac:dyDescent="0.25">
      <c r="B36" s="582" t="s">
        <v>339</v>
      </c>
      <c r="D36" s="43"/>
    </row>
    <row r="37" spans="2:19" ht="15.75" thickBot="1" x14ac:dyDescent="0.3">
      <c r="D37" s="43"/>
    </row>
    <row r="38" spans="2:19" ht="16.5" thickBot="1" x14ac:dyDescent="0.3">
      <c r="B38" s="937" t="s">
        <v>370</v>
      </c>
      <c r="C38" s="938"/>
      <c r="D38" s="43"/>
    </row>
    <row r="39" spans="2:19" x14ac:dyDescent="0.25">
      <c r="B39" s="946" t="s">
        <v>28</v>
      </c>
      <c r="C39" s="948" t="s">
        <v>29</v>
      </c>
      <c r="D39" s="769" t="s">
        <v>418</v>
      </c>
      <c r="E39" s="122" t="s">
        <v>178</v>
      </c>
      <c r="F39" s="940" t="s">
        <v>39</v>
      </c>
      <c r="G39" s="126" t="s">
        <v>178</v>
      </c>
      <c r="H39" s="942" t="s">
        <v>39</v>
      </c>
      <c r="I39" s="130" t="s">
        <v>178</v>
      </c>
      <c r="J39" s="944" t="s">
        <v>39</v>
      </c>
      <c r="K39" s="132" t="s">
        <v>178</v>
      </c>
      <c r="L39" s="931" t="s">
        <v>39</v>
      </c>
      <c r="M39" s="134" t="s">
        <v>178</v>
      </c>
      <c r="N39" s="929" t="s">
        <v>39</v>
      </c>
      <c r="O39" s="136" t="s">
        <v>178</v>
      </c>
      <c r="P39" s="927" t="s">
        <v>39</v>
      </c>
      <c r="Q39" s="138" t="s">
        <v>178</v>
      </c>
      <c r="R39" s="933" t="s">
        <v>39</v>
      </c>
    </row>
    <row r="40" spans="2:19" ht="15.75" thickBot="1" x14ac:dyDescent="0.3">
      <c r="B40" s="947"/>
      <c r="C40" s="949"/>
      <c r="D40" s="788" t="s">
        <v>419</v>
      </c>
      <c r="E40" s="123" t="s">
        <v>179</v>
      </c>
      <c r="F40" s="941"/>
      <c r="G40" s="313" t="s">
        <v>179</v>
      </c>
      <c r="H40" s="1006"/>
      <c r="I40" s="314" t="s">
        <v>179</v>
      </c>
      <c r="J40" s="998"/>
      <c r="K40" s="315" t="s">
        <v>179</v>
      </c>
      <c r="L40" s="999"/>
      <c r="M40" s="316" t="s">
        <v>179</v>
      </c>
      <c r="N40" s="1000"/>
      <c r="O40" s="317" t="s">
        <v>179</v>
      </c>
      <c r="P40" s="1001"/>
      <c r="Q40" s="318" t="s">
        <v>179</v>
      </c>
      <c r="R40" s="1004"/>
    </row>
    <row r="41" spans="2:19" x14ac:dyDescent="0.25">
      <c r="B41" s="2" t="s">
        <v>443</v>
      </c>
      <c r="C41" s="649" t="s">
        <v>41</v>
      </c>
      <c r="D41" s="375" cm="1">
        <f t="array" aca="1" ref="D41" ca="1">INDIRECT(ADDRESS(ROW(),MATCH(MAX(F41,H41,J41,L41,N41,P41,R41),E41:R41,0)-1+COLUMNS(A41:D41),4))</f>
        <v>70</v>
      </c>
      <c r="E41" s="780">
        <v>70</v>
      </c>
      <c r="F41" s="613">
        <v>44749</v>
      </c>
      <c r="G41" s="650"/>
      <c r="H41" s="651"/>
      <c r="I41" s="652"/>
      <c r="J41" s="653"/>
      <c r="K41" s="654"/>
      <c r="L41" s="655"/>
      <c r="M41" s="656"/>
      <c r="N41" s="657"/>
      <c r="O41" s="658"/>
      <c r="P41" s="659"/>
      <c r="Q41" s="660"/>
      <c r="R41" s="665"/>
      <c r="S41" s="667"/>
    </row>
    <row r="42" spans="2:19" x14ac:dyDescent="0.25">
      <c r="B42" s="22" t="s">
        <v>371</v>
      </c>
      <c r="C42" s="349" t="s">
        <v>41</v>
      </c>
      <c r="D42" s="279" cm="1">
        <f t="array" aca="1" ref="D42" ca="1">INDIRECT(ADDRESS(ROW(),MATCH(MAX(F42,H42,J42,L42,N42,P42,R42),E42:R42,0)-1+COLUMNS(A42:D42),4))</f>
        <v>11</v>
      </c>
      <c r="E42" s="766">
        <v>9</v>
      </c>
      <c r="F42" s="102">
        <v>44749</v>
      </c>
      <c r="G42" s="661">
        <v>11</v>
      </c>
      <c r="H42" s="555">
        <v>44887</v>
      </c>
      <c r="I42" s="556"/>
      <c r="J42" s="565"/>
      <c r="K42" s="558"/>
      <c r="L42" s="580"/>
      <c r="M42" s="560"/>
      <c r="N42" s="662"/>
      <c r="O42" s="562"/>
      <c r="P42" s="663"/>
      <c r="Q42" s="564"/>
      <c r="R42" s="666"/>
      <c r="S42" s="667"/>
    </row>
    <row r="43" spans="2:19" x14ac:dyDescent="0.25">
      <c r="B43" s="22" t="s">
        <v>372</v>
      </c>
      <c r="C43" s="349" t="s">
        <v>41</v>
      </c>
      <c r="D43" s="279" cm="1">
        <f t="array" aca="1" ref="D43" ca="1">INDIRECT(ADDRESS(ROW(),MATCH(MAX(F43,H43,J43,L43,N43,P43,R43),E43:R43,0)-1+COLUMNS(A43:D43),4))</f>
        <v>24.75</v>
      </c>
      <c r="E43" s="766">
        <v>23</v>
      </c>
      <c r="F43" s="102">
        <v>44749</v>
      </c>
      <c r="G43" s="661">
        <v>24.75</v>
      </c>
      <c r="H43" s="555">
        <v>44887</v>
      </c>
      <c r="I43" s="556"/>
      <c r="J43" s="565"/>
      <c r="K43" s="558"/>
      <c r="L43" s="580"/>
      <c r="M43" s="560"/>
      <c r="N43" s="662"/>
      <c r="O43" s="562"/>
      <c r="P43" s="663"/>
      <c r="Q43" s="564"/>
      <c r="R43" s="666"/>
      <c r="S43" s="667"/>
    </row>
    <row r="44" spans="2:19" x14ac:dyDescent="0.25">
      <c r="B44" s="22" t="s">
        <v>373</v>
      </c>
      <c r="C44" s="349" t="s">
        <v>41</v>
      </c>
      <c r="D44" s="279" cm="1">
        <f t="array" aca="1" ref="D44" ca="1">INDIRECT(ADDRESS(ROW(),MATCH(MAX(F44,H44,J44,L44,N44,P44,R44),E44:R44,0)-1+COLUMNS(A44:D44),4))</f>
        <v>10</v>
      </c>
      <c r="E44" s="766">
        <v>10</v>
      </c>
      <c r="F44" s="102">
        <v>44749</v>
      </c>
      <c r="G44" s="661"/>
      <c r="H44" s="555"/>
      <c r="I44" s="556"/>
      <c r="J44" s="565"/>
      <c r="K44" s="558"/>
      <c r="L44" s="580"/>
      <c r="M44" s="560"/>
      <c r="N44" s="662"/>
      <c r="O44" s="562"/>
      <c r="P44" s="663"/>
      <c r="Q44" s="564"/>
      <c r="R44" s="666"/>
      <c r="S44" s="667"/>
    </row>
    <row r="45" spans="2:19" x14ac:dyDescent="0.25">
      <c r="B45" s="22" t="s">
        <v>374</v>
      </c>
      <c r="C45" s="349" t="s">
        <v>4</v>
      </c>
      <c r="D45" s="279" cm="1">
        <f t="array" aca="1" ref="D45" ca="1">INDIRECT(ADDRESS(ROW(),MATCH(MAX(F45,H45,J45,L45,N45,P45,R45),E45:R45,0)-1+COLUMNS(A45:D45),4))</f>
        <v>10</v>
      </c>
      <c r="E45" s="766">
        <v>10</v>
      </c>
      <c r="F45" s="102">
        <v>44749</v>
      </c>
      <c r="G45" s="661"/>
      <c r="H45" s="555"/>
      <c r="I45" s="556"/>
      <c r="J45" s="565"/>
      <c r="K45" s="558"/>
      <c r="L45" s="580"/>
      <c r="M45" s="560"/>
      <c r="N45" s="662"/>
      <c r="O45" s="562"/>
      <c r="P45" s="663"/>
      <c r="Q45" s="564"/>
      <c r="R45" s="666"/>
      <c r="S45" s="667"/>
    </row>
    <row r="46" spans="2:19" x14ac:dyDescent="0.25">
      <c r="B46" s="22" t="s">
        <v>375</v>
      </c>
      <c r="C46" s="349" t="s">
        <v>4</v>
      </c>
      <c r="D46" s="279" cm="1">
        <f t="array" aca="1" ref="D46" ca="1">INDIRECT(ADDRESS(ROW(),MATCH(MAX(F46,H46,J46,L46,N46,P46,R46),E46:R46,0)-1+COLUMNS(A46:D46),4))</f>
        <v>15</v>
      </c>
      <c r="E46" s="766">
        <v>15</v>
      </c>
      <c r="F46" s="102">
        <v>44749</v>
      </c>
      <c r="G46" s="661"/>
      <c r="H46" s="555"/>
      <c r="I46" s="556"/>
      <c r="J46" s="565"/>
      <c r="K46" s="558"/>
      <c r="L46" s="580"/>
      <c r="M46" s="560"/>
      <c r="N46" s="662"/>
      <c r="O46" s="562"/>
      <c r="P46" s="663"/>
      <c r="Q46" s="564"/>
      <c r="R46" s="666"/>
      <c r="S46" s="667"/>
    </row>
    <row r="47" spans="2:19" x14ac:dyDescent="0.25">
      <c r="B47" s="22" t="s">
        <v>376</v>
      </c>
      <c r="C47" s="349" t="s">
        <v>4</v>
      </c>
      <c r="D47" s="279" cm="1">
        <f t="array" aca="1" ref="D47" ca="1">INDIRECT(ADDRESS(ROW(),MATCH(MAX(F47,H47,J47,L47,N47,P47,R47),E47:R47,0)-1+COLUMNS(A47:D47),4))</f>
        <v>10</v>
      </c>
      <c r="E47" s="766">
        <v>10</v>
      </c>
      <c r="F47" s="102">
        <v>44749</v>
      </c>
      <c r="G47" s="661"/>
      <c r="H47" s="555"/>
      <c r="I47" s="556"/>
      <c r="J47" s="565"/>
      <c r="K47" s="558"/>
      <c r="L47" s="580"/>
      <c r="M47" s="560"/>
      <c r="N47" s="662"/>
      <c r="O47" s="562"/>
      <c r="P47" s="663"/>
      <c r="Q47" s="564"/>
      <c r="R47" s="666"/>
      <c r="S47" s="667"/>
    </row>
    <row r="48" spans="2:19" ht="15.75" thickBot="1" x14ac:dyDescent="0.3">
      <c r="B48" s="22" t="s">
        <v>377</v>
      </c>
      <c r="C48" s="349" t="s">
        <v>4</v>
      </c>
      <c r="D48" s="757" cm="1">
        <f t="array" aca="1" ref="D48" ca="1">INDIRECT(ADDRESS(ROW(),MATCH(MAX(F48,H48,J48,L48,N48,P48,R48),E48:R48,0)-1+COLUMNS(A48:D48),4))</f>
        <v>12</v>
      </c>
      <c r="E48" s="766">
        <v>12</v>
      </c>
      <c r="F48" s="102">
        <v>44749</v>
      </c>
      <c r="G48" s="554"/>
      <c r="H48" s="555"/>
      <c r="I48" s="556"/>
      <c r="J48" s="565"/>
      <c r="K48" s="558"/>
      <c r="L48" s="580"/>
      <c r="M48" s="560"/>
      <c r="N48" s="662"/>
      <c r="O48" s="562"/>
      <c r="P48" s="663"/>
      <c r="Q48" s="564"/>
      <c r="R48" s="664"/>
    </row>
    <row r="49" spans="2:19" ht="15.75" thickBot="1" x14ac:dyDescent="0.3">
      <c r="D49" s="43"/>
    </row>
    <row r="50" spans="2:19" ht="16.5" thickBot="1" x14ac:dyDescent="0.3">
      <c r="B50" s="937" t="s">
        <v>378</v>
      </c>
      <c r="C50" s="939"/>
      <c r="D50" s="43"/>
    </row>
    <row r="51" spans="2:19" x14ac:dyDescent="0.25">
      <c r="B51" s="946" t="s">
        <v>28</v>
      </c>
      <c r="C51" s="948" t="s">
        <v>29</v>
      </c>
      <c r="D51" s="769" t="s">
        <v>418</v>
      </c>
      <c r="E51" s="122" t="s">
        <v>178</v>
      </c>
      <c r="F51" s="940" t="s">
        <v>39</v>
      </c>
      <c r="G51" s="126" t="s">
        <v>178</v>
      </c>
      <c r="H51" s="942" t="s">
        <v>39</v>
      </c>
      <c r="I51" s="130" t="s">
        <v>178</v>
      </c>
      <c r="J51" s="944" t="s">
        <v>39</v>
      </c>
      <c r="K51" s="132" t="s">
        <v>178</v>
      </c>
      <c r="L51" s="931" t="s">
        <v>39</v>
      </c>
      <c r="M51" s="134" t="s">
        <v>178</v>
      </c>
      <c r="N51" s="929" t="s">
        <v>39</v>
      </c>
      <c r="O51" s="136" t="s">
        <v>178</v>
      </c>
      <c r="P51" s="927" t="s">
        <v>39</v>
      </c>
      <c r="Q51" s="138" t="s">
        <v>178</v>
      </c>
      <c r="R51" s="933" t="s">
        <v>39</v>
      </c>
    </row>
    <row r="52" spans="2:19" ht="15.75" thickBot="1" x14ac:dyDescent="0.3">
      <c r="B52" s="947"/>
      <c r="C52" s="949"/>
      <c r="D52" s="788" t="s">
        <v>419</v>
      </c>
      <c r="E52" s="123" t="s">
        <v>179</v>
      </c>
      <c r="F52" s="941"/>
      <c r="G52" s="313" t="s">
        <v>179</v>
      </c>
      <c r="H52" s="1006"/>
      <c r="I52" s="314" t="s">
        <v>179</v>
      </c>
      <c r="J52" s="998"/>
      <c r="K52" s="315" t="s">
        <v>179</v>
      </c>
      <c r="L52" s="999"/>
      <c r="M52" s="316" t="s">
        <v>179</v>
      </c>
      <c r="N52" s="1000"/>
      <c r="O52" s="317" t="s">
        <v>179</v>
      </c>
      <c r="P52" s="1001"/>
      <c r="Q52" s="318" t="s">
        <v>179</v>
      </c>
      <c r="R52" s="1004"/>
    </row>
    <row r="53" spans="2:19" x14ac:dyDescent="0.25">
      <c r="B53" s="668" t="s">
        <v>389</v>
      </c>
      <c r="C53" s="649" t="s">
        <v>379</v>
      </c>
      <c r="D53" s="375" cm="1">
        <f t="array" aca="1" ref="D53" ca="1">INDIRECT(ADDRESS(ROW(),MATCH(MAX(F53,H53,J53,L53,N53,P53,R53),E53:R53,0)-1+COLUMNS(A53:D53),4))</f>
        <v>42.62</v>
      </c>
      <c r="E53" s="835">
        <v>35</v>
      </c>
      <c r="F53" s="140">
        <v>44749</v>
      </c>
      <c r="G53" s="650">
        <v>42.62</v>
      </c>
      <c r="H53" s="651">
        <v>44783</v>
      </c>
      <c r="I53" s="652"/>
      <c r="J53" s="653"/>
      <c r="K53" s="654"/>
      <c r="L53" s="655"/>
      <c r="M53" s="656"/>
      <c r="N53" s="657"/>
      <c r="O53" s="658"/>
      <c r="P53" s="659"/>
      <c r="Q53" s="660"/>
      <c r="R53" s="665"/>
      <c r="S53" s="667"/>
    </row>
    <row r="54" spans="2:19" x14ac:dyDescent="0.25">
      <c r="B54" s="22" t="s">
        <v>380</v>
      </c>
      <c r="C54" s="349" t="s">
        <v>379</v>
      </c>
      <c r="D54" s="279" cm="1">
        <f t="array" aca="1" ref="D54" ca="1">INDIRECT(ADDRESS(ROW(),MATCH(MAX(F54,H54,J54,L54,N54,P54,R54),E54:R54,0)-1+COLUMNS(A54:D54),4))</f>
        <v>48</v>
      </c>
      <c r="E54" s="766">
        <v>48</v>
      </c>
      <c r="F54" s="102">
        <v>44749</v>
      </c>
      <c r="G54" s="554"/>
      <c r="H54" s="669"/>
      <c r="I54" s="556"/>
      <c r="J54" s="565"/>
      <c r="K54" s="558"/>
      <c r="L54" s="580"/>
      <c r="M54" s="560"/>
      <c r="N54" s="662"/>
      <c r="O54" s="562"/>
      <c r="P54" s="663"/>
      <c r="Q54" s="564"/>
      <c r="R54" s="664"/>
    </row>
    <row r="55" spans="2:19" x14ac:dyDescent="0.25">
      <c r="B55" s="22" t="s">
        <v>387</v>
      </c>
      <c r="C55" s="349" t="s">
        <v>379</v>
      </c>
      <c r="D55" s="279" cm="1">
        <f t="array" aca="1" ref="D55" ca="1">INDIRECT(ADDRESS(ROW(),MATCH(MAX(F55,H55,J55,L55,N55,P55,R55),E55:R55,0)-1+COLUMNS(A55:D55),4))</f>
        <v>59.3</v>
      </c>
      <c r="E55" s="766">
        <v>57</v>
      </c>
      <c r="F55" s="102">
        <v>44749</v>
      </c>
      <c r="G55" s="554">
        <v>51</v>
      </c>
      <c r="H55" s="555">
        <v>44783</v>
      </c>
      <c r="I55" s="556">
        <v>59.3</v>
      </c>
      <c r="J55" s="565">
        <v>44887</v>
      </c>
      <c r="K55" s="558"/>
      <c r="L55" s="580"/>
      <c r="M55" s="560"/>
      <c r="N55" s="662"/>
      <c r="O55" s="562"/>
      <c r="P55" s="663"/>
      <c r="Q55" s="564"/>
      <c r="R55" s="664"/>
    </row>
    <row r="56" spans="2:19" x14ac:dyDescent="0.25">
      <c r="B56" s="22" t="s">
        <v>388</v>
      </c>
      <c r="C56" s="349" t="s">
        <v>379</v>
      </c>
      <c r="D56" s="279" cm="1">
        <f t="array" aca="1" ref="D56" ca="1">INDIRECT(ADDRESS(ROW(),MATCH(MAX(F56,H56,J56,L56,N56,P56,R56),E56:R56,0)-1+COLUMNS(A56:D56),4))</f>
        <v>63</v>
      </c>
      <c r="E56" s="766">
        <v>63</v>
      </c>
      <c r="F56" s="102">
        <v>44749</v>
      </c>
      <c r="G56" s="554"/>
      <c r="H56" s="669"/>
      <c r="I56" s="556"/>
      <c r="J56" s="565"/>
      <c r="K56" s="558"/>
      <c r="L56" s="580"/>
      <c r="M56" s="560"/>
      <c r="N56" s="662"/>
      <c r="O56" s="562"/>
      <c r="P56" s="663"/>
      <c r="Q56" s="564"/>
      <c r="R56" s="664"/>
    </row>
    <row r="57" spans="2:19" x14ac:dyDescent="0.25">
      <c r="B57" s="22" t="s">
        <v>381</v>
      </c>
      <c r="C57" s="349" t="s">
        <v>379</v>
      </c>
      <c r="D57" s="279" cm="1">
        <f t="array" aca="1" ref="D57" ca="1">INDIRECT(ADDRESS(ROW(),MATCH(MAX(F57,H57,J57,L57,N57,P57,R57),E57:R57,0)-1+COLUMNS(A57:D57),4))</f>
        <v>20.8</v>
      </c>
      <c r="E57" s="766">
        <v>24</v>
      </c>
      <c r="F57" s="102">
        <v>44749</v>
      </c>
      <c r="G57" s="554">
        <v>20.8</v>
      </c>
      <c r="H57" s="555">
        <v>44783</v>
      </c>
      <c r="I57" s="556"/>
      <c r="J57" s="565"/>
      <c r="K57" s="558"/>
      <c r="L57" s="580"/>
      <c r="M57" s="560"/>
      <c r="N57" s="662"/>
      <c r="O57" s="562"/>
      <c r="P57" s="663"/>
      <c r="Q57" s="564"/>
      <c r="R57" s="664"/>
    </row>
    <row r="58" spans="2:19" x14ac:dyDescent="0.25">
      <c r="B58" s="22" t="s">
        <v>382</v>
      </c>
      <c r="C58" s="349" t="s">
        <v>379</v>
      </c>
      <c r="D58" s="279" cm="1">
        <f t="array" aca="1" ref="D58" ca="1">INDIRECT(ADDRESS(ROW(),MATCH(MAX(F58,H58,J58,L58,N58,P58,R58),E58:R58,0)-1+COLUMNS(A58:D58),4))</f>
        <v>5</v>
      </c>
      <c r="E58" s="766">
        <v>5</v>
      </c>
      <c r="F58" s="102">
        <v>44749</v>
      </c>
      <c r="G58" s="554"/>
      <c r="H58" s="555"/>
      <c r="I58" s="556"/>
      <c r="J58" s="565"/>
      <c r="K58" s="558"/>
      <c r="L58" s="580"/>
      <c r="M58" s="560"/>
      <c r="N58" s="662"/>
      <c r="O58" s="562"/>
      <c r="P58" s="663"/>
      <c r="Q58" s="564"/>
      <c r="R58" s="664"/>
    </row>
    <row r="59" spans="2:19" x14ac:dyDescent="0.25">
      <c r="B59" s="22" t="s">
        <v>383</v>
      </c>
      <c r="C59" s="349" t="s">
        <v>379</v>
      </c>
      <c r="D59" s="279" cm="1">
        <f t="array" aca="1" ref="D59" ca="1">INDIRECT(ADDRESS(ROW(),MATCH(MAX(F59,H59,J59,L59,N59,P59,R59),E59:R59,0)-1+COLUMNS(A59:D59),4))</f>
        <v>11.2</v>
      </c>
      <c r="E59" s="766">
        <v>11.2</v>
      </c>
      <c r="F59" s="102">
        <v>44749</v>
      </c>
      <c r="G59" s="554"/>
      <c r="H59" s="555"/>
      <c r="I59" s="556"/>
      <c r="J59" s="565"/>
      <c r="K59" s="558"/>
      <c r="L59" s="580"/>
      <c r="M59" s="560"/>
      <c r="N59" s="662"/>
      <c r="O59" s="562"/>
      <c r="P59" s="663"/>
      <c r="Q59" s="564"/>
      <c r="R59" s="664"/>
    </row>
    <row r="60" spans="2:19" x14ac:dyDescent="0.25">
      <c r="B60" s="22" t="s">
        <v>385</v>
      </c>
      <c r="C60" s="349" t="s">
        <v>379</v>
      </c>
      <c r="D60" s="279" cm="1">
        <f t="array" aca="1" ref="D60" ca="1">INDIRECT(ADDRESS(ROW(),MATCH(MAX(F60,H60,J60,L60,N60,P60,R60),E60:R60,0)-1+COLUMNS(A60:D60),4))</f>
        <v>28</v>
      </c>
      <c r="E60" s="766">
        <v>28</v>
      </c>
      <c r="F60" s="102">
        <v>44753</v>
      </c>
      <c r="G60" s="554"/>
      <c r="H60" s="555"/>
      <c r="I60" s="556"/>
      <c r="J60" s="565"/>
      <c r="K60" s="558"/>
      <c r="L60" s="580"/>
      <c r="M60" s="560"/>
      <c r="N60" s="662"/>
      <c r="O60" s="562"/>
      <c r="P60" s="663"/>
      <c r="Q60" s="564"/>
      <c r="R60" s="664"/>
    </row>
    <row r="61" spans="2:19" ht="15.75" thickBot="1" x14ac:dyDescent="0.3">
      <c r="B61" s="22" t="s">
        <v>386</v>
      </c>
      <c r="C61" s="349" t="s">
        <v>379</v>
      </c>
      <c r="D61" s="757" cm="1">
        <f t="array" aca="1" ref="D61" ca="1">INDIRECT(ADDRESS(ROW(),MATCH(MAX(F61,H61,J61,L61,N61,P61,R61),E61:R61,0)-1+COLUMNS(A61:D61),4))</f>
        <v>18</v>
      </c>
      <c r="E61" s="766">
        <v>18</v>
      </c>
      <c r="F61" s="102">
        <v>44753</v>
      </c>
      <c r="G61" s="554"/>
      <c r="H61" s="555"/>
      <c r="I61" s="556"/>
      <c r="J61" s="565"/>
      <c r="K61" s="558"/>
      <c r="L61" s="580"/>
      <c r="M61" s="560"/>
      <c r="N61" s="662"/>
      <c r="O61" s="562"/>
      <c r="P61" s="663"/>
      <c r="Q61" s="564"/>
      <c r="R61" s="664"/>
    </row>
    <row r="63" spans="2:19" x14ac:dyDescent="0.25">
      <c r="B63" s="670" t="s">
        <v>390</v>
      </c>
      <c r="C63" s="671"/>
      <c r="D63" s="671"/>
    </row>
    <row r="64" spans="2:19" x14ac:dyDescent="0.25">
      <c r="B64" s="670" t="s">
        <v>391</v>
      </c>
    </row>
  </sheetData>
  <mergeCells count="60">
    <mergeCell ref="J51:J52"/>
    <mergeCell ref="L51:L52"/>
    <mergeCell ref="N51:N52"/>
    <mergeCell ref="P51:P52"/>
    <mergeCell ref="R51:R52"/>
    <mergeCell ref="B50:C50"/>
    <mergeCell ref="B51:B52"/>
    <mergeCell ref="C51:C52"/>
    <mergeCell ref="F51:F52"/>
    <mergeCell ref="H51:H52"/>
    <mergeCell ref="J39:J40"/>
    <mergeCell ref="L39:L40"/>
    <mergeCell ref="N39:N40"/>
    <mergeCell ref="P39:P40"/>
    <mergeCell ref="R39:R40"/>
    <mergeCell ref="B38:C38"/>
    <mergeCell ref="B39:B40"/>
    <mergeCell ref="C39:C40"/>
    <mergeCell ref="F39:F40"/>
    <mergeCell ref="H39:H40"/>
    <mergeCell ref="J26:J27"/>
    <mergeCell ref="L26:L27"/>
    <mergeCell ref="N26:N27"/>
    <mergeCell ref="P26:P27"/>
    <mergeCell ref="R26:R27"/>
    <mergeCell ref="B25:C25"/>
    <mergeCell ref="B26:B27"/>
    <mergeCell ref="C26:C27"/>
    <mergeCell ref="F26:F27"/>
    <mergeCell ref="H26:H27"/>
    <mergeCell ref="J20:J21"/>
    <mergeCell ref="L20:L21"/>
    <mergeCell ref="N20:N21"/>
    <mergeCell ref="P20:P21"/>
    <mergeCell ref="R20:R21"/>
    <mergeCell ref="B19:C19"/>
    <mergeCell ref="B20:B21"/>
    <mergeCell ref="C20:C21"/>
    <mergeCell ref="F20:F21"/>
    <mergeCell ref="H20:H21"/>
    <mergeCell ref="L3:L4"/>
    <mergeCell ref="N3:N4"/>
    <mergeCell ref="P3:P4"/>
    <mergeCell ref="R3:R4"/>
    <mergeCell ref="B2:C2"/>
    <mergeCell ref="B3:B4"/>
    <mergeCell ref="C3:C4"/>
    <mergeCell ref="F3:F4"/>
    <mergeCell ref="H3:H4"/>
    <mergeCell ref="J3:J4"/>
    <mergeCell ref="B9:C9"/>
    <mergeCell ref="B10:B11"/>
    <mergeCell ref="C10:C11"/>
    <mergeCell ref="F10:F11"/>
    <mergeCell ref="H10:H11"/>
    <mergeCell ref="J10:J11"/>
    <mergeCell ref="L10:L11"/>
    <mergeCell ref="N10:N11"/>
    <mergeCell ref="P10:P11"/>
    <mergeCell ref="R10:R11"/>
  </mergeCells>
  <hyperlinks>
    <hyperlink ref="A1" location="CUPRINS!A1" display="CUPRINS" xr:uid="{6A9C9221-976D-47D4-899A-416BD6C5B963}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66BAA-40AC-40CA-9938-657228357BBA}">
  <sheetPr codeName="Sheet21"/>
  <dimension ref="A1:S23"/>
  <sheetViews>
    <sheetView workbookViewId="0"/>
  </sheetViews>
  <sheetFormatPr defaultRowHeight="15" x14ac:dyDescent="0.25"/>
  <cols>
    <col min="2" max="2" width="42.42578125" customWidth="1"/>
    <col min="3" max="3" width="19.140625" customWidth="1"/>
    <col min="4" max="4" width="17" customWidth="1"/>
    <col min="5" max="5" width="19.5703125" customWidth="1"/>
    <col min="6" max="6" width="12.85546875" customWidth="1"/>
    <col min="8" max="8" width="14.28515625" customWidth="1"/>
    <col min="9" max="9" width="12.28515625" customWidth="1"/>
    <col min="10" max="10" width="15.140625" customWidth="1"/>
    <col min="11" max="11" width="12.7109375" customWidth="1"/>
    <col min="12" max="12" width="15.5703125" customWidth="1"/>
    <col min="14" max="14" width="14.28515625" customWidth="1"/>
    <col min="16" max="16" width="17.7109375" customWidth="1"/>
    <col min="18" max="18" width="16.28515625" customWidth="1"/>
  </cols>
  <sheetData>
    <row r="1" spans="1:19" x14ac:dyDescent="0.25">
      <c r="A1" s="616" t="s">
        <v>199</v>
      </c>
    </row>
    <row r="2" spans="1:19" ht="26.25" x14ac:dyDescent="0.4">
      <c r="B2" s="507" t="s">
        <v>264</v>
      </c>
      <c r="C2" s="507"/>
    </row>
    <row r="3" spans="1:19" ht="15.75" thickBot="1" x14ac:dyDescent="0.3">
      <c r="L3" t="s">
        <v>475</v>
      </c>
    </row>
    <row r="4" spans="1:19" ht="16.5" thickBot="1" x14ac:dyDescent="0.3">
      <c r="B4" s="937" t="s">
        <v>266</v>
      </c>
      <c r="C4" s="938"/>
      <c r="D4" s="939"/>
      <c r="E4" s="770"/>
      <c r="F4" s="101"/>
    </row>
    <row r="5" spans="1:19" x14ac:dyDescent="0.25">
      <c r="B5" s="946" t="s">
        <v>28</v>
      </c>
      <c r="C5" s="946" t="s">
        <v>265</v>
      </c>
      <c r="D5" s="948" t="s">
        <v>29</v>
      </c>
      <c r="E5" s="769" t="s">
        <v>418</v>
      </c>
      <c r="F5" s="122" t="s">
        <v>178</v>
      </c>
      <c r="G5" s="940" t="s">
        <v>39</v>
      </c>
      <c r="H5" s="126" t="s">
        <v>178</v>
      </c>
      <c r="I5" s="942" t="s">
        <v>39</v>
      </c>
      <c r="J5" s="130" t="s">
        <v>178</v>
      </c>
      <c r="K5" s="944" t="s">
        <v>39</v>
      </c>
      <c r="L5" s="132" t="s">
        <v>178</v>
      </c>
      <c r="M5" s="931" t="s">
        <v>39</v>
      </c>
      <c r="N5" s="134" t="s">
        <v>178</v>
      </c>
      <c r="O5" s="929" t="s">
        <v>39</v>
      </c>
      <c r="P5" s="136" t="s">
        <v>178</v>
      </c>
      <c r="Q5" s="927" t="s">
        <v>39</v>
      </c>
      <c r="R5" s="138" t="s">
        <v>178</v>
      </c>
      <c r="S5" s="933" t="s">
        <v>39</v>
      </c>
    </row>
    <row r="6" spans="1:19" ht="15.75" thickBot="1" x14ac:dyDescent="0.3">
      <c r="B6" s="954"/>
      <c r="C6" s="954"/>
      <c r="D6" s="955"/>
      <c r="E6" s="788" t="s">
        <v>462</v>
      </c>
      <c r="F6" s="325" t="s">
        <v>463</v>
      </c>
      <c r="G6" s="1005"/>
      <c r="H6" s="313" t="s">
        <v>463</v>
      </c>
      <c r="I6" s="1006"/>
      <c r="J6" s="314" t="s">
        <v>463</v>
      </c>
      <c r="K6" s="998"/>
      <c r="L6" s="315" t="s">
        <v>463</v>
      </c>
      <c r="M6" s="999"/>
      <c r="N6" s="316" t="s">
        <v>463</v>
      </c>
      <c r="O6" s="1000"/>
      <c r="P6" s="317" t="s">
        <v>463</v>
      </c>
      <c r="Q6" s="1001"/>
      <c r="R6" s="318" t="s">
        <v>463</v>
      </c>
      <c r="S6" s="1004"/>
    </row>
    <row r="7" spans="1:19" ht="15.75" x14ac:dyDescent="0.25">
      <c r="B7" s="508" t="s">
        <v>267</v>
      </c>
      <c r="C7" s="509" t="s">
        <v>352</v>
      </c>
      <c r="D7" s="349" t="s">
        <v>351</v>
      </c>
      <c r="E7" s="375" cm="1">
        <f t="array" aca="1" ref="E7" ca="1">INDIRECT(ADDRESS(ROW(),MATCH(MAX(G7,I7,K7,M7,O7,Q7,S7),F7:S7,0)-1+COLUMNS(A7:E7),4))</f>
        <v>102.5899</v>
      </c>
      <c r="F7" s="858">
        <f>13.05*6</f>
        <v>78.300000000000011</v>
      </c>
      <c r="G7" s="196">
        <v>44489</v>
      </c>
      <c r="H7" s="615">
        <v>92</v>
      </c>
      <c r="I7" s="352">
        <v>44694</v>
      </c>
      <c r="J7" s="510">
        <v>87.21</v>
      </c>
      <c r="K7" s="511">
        <v>44908</v>
      </c>
      <c r="L7" s="512">
        <v>104</v>
      </c>
      <c r="M7" s="513">
        <v>45040</v>
      </c>
      <c r="N7" s="887">
        <f>86.21+19%*86.21</f>
        <v>102.5899</v>
      </c>
      <c r="O7" s="514">
        <v>45062</v>
      </c>
      <c r="P7" s="515"/>
      <c r="Q7" s="516"/>
      <c r="R7" s="517"/>
      <c r="S7" s="518"/>
    </row>
    <row r="8" spans="1:19" ht="15.75" x14ac:dyDescent="0.25">
      <c r="B8" s="417" t="s">
        <v>268</v>
      </c>
      <c r="C8" s="519" t="s">
        <v>269</v>
      </c>
      <c r="D8" s="349" t="s">
        <v>351</v>
      </c>
      <c r="E8" s="279" cm="1">
        <f t="array" aca="1" ref="E8" ca="1">INDIRECT(ADDRESS(ROW(),MATCH(MAX(G8,I8,K8,M8,O8,Q8,S8),F8:S8,0)-1+COLUMNS(A8:E8),4))</f>
        <v>101.15</v>
      </c>
      <c r="F8" s="767">
        <f>13.55*6</f>
        <v>81.300000000000011</v>
      </c>
      <c r="G8" s="156">
        <v>44489</v>
      </c>
      <c r="H8" s="56">
        <v>82.1</v>
      </c>
      <c r="I8" s="59">
        <v>44636</v>
      </c>
      <c r="J8" s="520">
        <v>114</v>
      </c>
      <c r="K8" s="521">
        <v>45040</v>
      </c>
      <c r="L8" s="217">
        <f>42.5*2+19%*42.5*2</f>
        <v>101.15</v>
      </c>
      <c r="M8" s="231">
        <v>45071</v>
      </c>
      <c r="N8" s="219"/>
      <c r="O8" s="233"/>
      <c r="P8" s="221"/>
      <c r="Q8" s="235"/>
      <c r="R8" s="522"/>
      <c r="S8" s="523"/>
    </row>
    <row r="9" spans="1:19" ht="15.75" x14ac:dyDescent="0.25">
      <c r="B9" s="417" t="s">
        <v>498</v>
      </c>
      <c r="C9" s="519" t="s">
        <v>499</v>
      </c>
      <c r="D9" s="349" t="s">
        <v>500</v>
      </c>
      <c r="E9" s="279" cm="1">
        <f t="array" aca="1" ref="E9" ca="1">INDIRECT(ADDRESS(ROW(),MATCH(MAX(G9,I9,K9,M9,O9,Q9,S9),F9:S9,0)-1+COLUMNS(A9:E9),4))</f>
        <v>26.31</v>
      </c>
      <c r="F9" s="767">
        <f>8.77*3</f>
        <v>26.31</v>
      </c>
      <c r="G9" s="156">
        <v>45198</v>
      </c>
      <c r="H9" s="56"/>
      <c r="I9" s="59"/>
      <c r="J9" s="520"/>
      <c r="K9" s="521"/>
      <c r="L9" s="217"/>
      <c r="M9" s="231"/>
      <c r="N9" s="219"/>
      <c r="O9" s="233"/>
      <c r="P9" s="221"/>
      <c r="Q9" s="235"/>
      <c r="R9" s="522"/>
      <c r="S9" s="523"/>
    </row>
    <row r="10" spans="1:19" ht="15.75" x14ac:dyDescent="0.25">
      <c r="B10" s="417" t="s">
        <v>503</v>
      </c>
      <c r="C10" s="519" t="s">
        <v>504</v>
      </c>
      <c r="D10" s="349" t="s">
        <v>505</v>
      </c>
      <c r="E10" s="279" cm="1">
        <f t="array" aca="1" ref="E10" ca="1">INDIRECT(ADDRESS(ROW(),MATCH(MAX(G10,I10,K10,M10,O10,Q10,S10),F10:S10,0)-1+COLUMNS(A10:E10),4))</f>
        <v>17.420000000000002</v>
      </c>
      <c r="F10" s="767">
        <f>8.71*2</f>
        <v>17.420000000000002</v>
      </c>
      <c r="G10" s="156">
        <v>45198</v>
      </c>
      <c r="H10" s="56"/>
      <c r="I10" s="59"/>
      <c r="J10" s="520"/>
      <c r="K10" s="521"/>
      <c r="L10" s="217"/>
      <c r="M10" s="231"/>
      <c r="N10" s="219"/>
      <c r="O10" s="233"/>
      <c r="P10" s="221"/>
      <c r="Q10" s="235"/>
      <c r="R10" s="522"/>
      <c r="S10" s="523"/>
    </row>
    <row r="11" spans="1:19" ht="15.75" x14ac:dyDescent="0.25">
      <c r="B11" s="417" t="s">
        <v>270</v>
      </c>
      <c r="C11" s="519" t="s">
        <v>271</v>
      </c>
      <c r="D11" s="349" t="s">
        <v>41</v>
      </c>
      <c r="E11" s="279" cm="1">
        <f t="array" aca="1" ref="E11" ca="1">INDIRECT(ADDRESS(ROW(),MATCH(MAX(G11,I11,K11,M11,O11,Q11,S11),F11:S11,0)-1+COLUMNS(A11:E11),4))</f>
        <v>27.66</v>
      </c>
      <c r="F11" s="766">
        <v>27.66</v>
      </c>
      <c r="G11" s="156">
        <v>44489</v>
      </c>
      <c r="H11" s="56"/>
      <c r="I11" s="59"/>
      <c r="J11" s="520"/>
      <c r="K11" s="521"/>
      <c r="L11" s="217"/>
      <c r="M11" s="231"/>
      <c r="N11" s="219"/>
      <c r="O11" s="233"/>
      <c r="P11" s="221"/>
      <c r="Q11" s="235"/>
      <c r="R11" s="522"/>
      <c r="S11" s="523"/>
    </row>
    <row r="12" spans="1:19" ht="15.75" x14ac:dyDescent="0.25">
      <c r="B12" s="417" t="s">
        <v>473</v>
      </c>
      <c r="C12" s="519" t="s">
        <v>472</v>
      </c>
      <c r="D12" s="349" t="s">
        <v>41</v>
      </c>
      <c r="E12" s="733" cm="1">
        <f t="array" aca="1" ref="E12" ca="1">INDIRECT(ADDRESS(ROW(),MATCH(MAX(G12,I12,K12,M12,O12,Q12,S12),F12:S12,0)-1+COLUMNS(A12:E12),4))</f>
        <v>5.0575000000000001</v>
      </c>
      <c r="F12" s="767">
        <f>4.25+19%*4.25</f>
        <v>5.0575000000000001</v>
      </c>
      <c r="G12" s="156">
        <v>45068</v>
      </c>
      <c r="H12" s="56"/>
      <c r="I12" s="59"/>
      <c r="J12" s="520"/>
      <c r="K12" s="521"/>
      <c r="L12" s="217"/>
      <c r="M12" s="231"/>
      <c r="N12" s="219"/>
      <c r="O12" s="233"/>
      <c r="P12" s="221"/>
      <c r="Q12" s="235"/>
      <c r="R12" s="522"/>
      <c r="S12" s="523"/>
    </row>
    <row r="13" spans="1:19" ht="15.75" x14ac:dyDescent="0.25">
      <c r="B13" s="417" t="s">
        <v>483</v>
      </c>
      <c r="C13" s="519" t="s">
        <v>482</v>
      </c>
      <c r="D13" s="349" t="s">
        <v>41</v>
      </c>
      <c r="E13" s="733" cm="1">
        <f t="array" aca="1" ref="E13" ca="1">INDIRECT(ADDRESS(ROW(),MATCH(MAX(G13,I13,K13,M13,O13,Q13,S13),F13:S13,0)-1+COLUMNS(A13:E13),4))</f>
        <v>3.4509999999999996</v>
      </c>
      <c r="F13" s="767">
        <f>2.9+19%*2.9</f>
        <v>3.4509999999999996</v>
      </c>
      <c r="G13" s="156">
        <v>45148</v>
      </c>
      <c r="H13" s="56"/>
      <c r="I13" s="59"/>
      <c r="J13" s="520"/>
      <c r="K13" s="521"/>
      <c r="L13" s="217"/>
      <c r="M13" s="231"/>
      <c r="N13" s="219"/>
      <c r="O13" s="233"/>
      <c r="P13" s="221"/>
      <c r="Q13" s="235"/>
      <c r="R13" s="522"/>
      <c r="S13" s="523"/>
    </row>
    <row r="14" spans="1:19" ht="15.75" x14ac:dyDescent="0.25">
      <c r="B14" s="417" t="s">
        <v>502</v>
      </c>
      <c r="C14" s="519" t="s">
        <v>501</v>
      </c>
      <c r="D14" s="349" t="s">
        <v>41</v>
      </c>
      <c r="E14" s="733" cm="1">
        <f t="array" aca="1" ref="E14" ca="1">INDIRECT(ADDRESS(ROW(),MATCH(MAX(G14,I14,K14,M14,O14,Q14,S14),F14:S14,0)-1+COLUMNS(A14:E14),4))</f>
        <v>2.12</v>
      </c>
      <c r="F14" s="767">
        <v>2.12</v>
      </c>
      <c r="G14" s="156">
        <v>45198</v>
      </c>
      <c r="H14" s="56"/>
      <c r="I14" s="59"/>
      <c r="J14" s="520"/>
      <c r="K14" s="521"/>
      <c r="L14" s="217"/>
      <c r="M14" s="231"/>
      <c r="N14" s="219"/>
      <c r="O14" s="233"/>
      <c r="P14" s="221"/>
      <c r="Q14" s="235"/>
      <c r="R14" s="522"/>
      <c r="S14" s="523"/>
    </row>
    <row r="15" spans="1:19" ht="15.75" x14ac:dyDescent="0.25">
      <c r="B15" s="417" t="s">
        <v>272</v>
      </c>
      <c r="C15" s="519" t="s">
        <v>273</v>
      </c>
      <c r="D15" s="349" t="s">
        <v>41</v>
      </c>
      <c r="E15" s="279" cm="1">
        <f t="array" aca="1" ref="E15" ca="1">INDIRECT(ADDRESS(ROW(),MATCH(MAX(G15,I15,K15,M15,O15,Q15,S15),F15:S15,0)-1+COLUMNS(A15:E15),4))</f>
        <v>4.6052999999999997</v>
      </c>
      <c r="F15" s="766">
        <v>3.26</v>
      </c>
      <c r="G15" s="156">
        <v>44489</v>
      </c>
      <c r="H15" s="56">
        <v>4.0999999999999996</v>
      </c>
      <c r="I15" s="59">
        <v>44698</v>
      </c>
      <c r="J15" s="520">
        <v>3.87</v>
      </c>
      <c r="K15" s="521">
        <v>44908</v>
      </c>
      <c r="L15" s="891">
        <f>3.87+19%*3.87</f>
        <v>4.6052999999999997</v>
      </c>
      <c r="M15" s="231">
        <v>45068</v>
      </c>
      <c r="N15" s="621"/>
      <c r="O15" s="233"/>
      <c r="P15" s="221"/>
      <c r="Q15" s="235"/>
      <c r="R15" s="522"/>
      <c r="S15" s="523"/>
    </row>
    <row r="16" spans="1:19" ht="15.75" x14ac:dyDescent="0.25">
      <c r="B16" s="417" t="s">
        <v>274</v>
      </c>
      <c r="C16" s="519" t="s">
        <v>275</v>
      </c>
      <c r="D16" s="349" t="s">
        <v>41</v>
      </c>
      <c r="E16" s="279" cm="1">
        <f t="array" aca="1" ref="E16" ca="1">INDIRECT(ADDRESS(ROW(),MATCH(MAX(G16,I16,K16,M16,O16,Q16,S16),F16:S16,0)-1+COLUMNS(A16:E16),4))</f>
        <v>2.6537000000000002</v>
      </c>
      <c r="F16" s="766">
        <v>2.09</v>
      </c>
      <c r="G16" s="156">
        <v>44489</v>
      </c>
      <c r="H16" s="56">
        <v>2.2000000000000002</v>
      </c>
      <c r="I16" s="59">
        <v>44698</v>
      </c>
      <c r="J16" s="520">
        <v>2.23</v>
      </c>
      <c r="K16" s="521">
        <v>44908</v>
      </c>
      <c r="L16" s="217">
        <v>2.4900000000000002</v>
      </c>
      <c r="M16" s="231">
        <v>45040</v>
      </c>
      <c r="N16" s="621">
        <f>2.23+2.23*19%</f>
        <v>2.6537000000000002</v>
      </c>
      <c r="O16" s="233">
        <v>45068</v>
      </c>
      <c r="P16" s="221"/>
      <c r="Q16" s="235"/>
      <c r="R16" s="522"/>
      <c r="S16" s="523"/>
    </row>
    <row r="17" spans="2:19" ht="15.75" x14ac:dyDescent="0.25">
      <c r="B17" s="417" t="s">
        <v>276</v>
      </c>
      <c r="C17" s="519" t="s">
        <v>277</v>
      </c>
      <c r="D17" s="349" t="s">
        <v>41</v>
      </c>
      <c r="E17" s="279" cm="1">
        <f t="array" aca="1" ref="E17" ca="1">INDIRECT(ADDRESS(ROW(),MATCH(MAX(G17,I17,K17,M17,O17,Q17,S17),F17:S17,0)-1+COLUMNS(A17:E17),4))</f>
        <v>7.5922000000000001</v>
      </c>
      <c r="F17" s="766">
        <v>5.15</v>
      </c>
      <c r="G17" s="156">
        <v>44489</v>
      </c>
      <c r="H17" s="56">
        <v>6.7</v>
      </c>
      <c r="I17" s="59">
        <v>44698</v>
      </c>
      <c r="J17" s="520">
        <v>6.38</v>
      </c>
      <c r="K17" s="521">
        <v>44908</v>
      </c>
      <c r="L17" s="891">
        <f>6.38+19%*6.38</f>
        <v>7.5922000000000001</v>
      </c>
      <c r="M17" s="231">
        <v>45068</v>
      </c>
      <c r="N17" s="621"/>
      <c r="O17" s="233"/>
      <c r="P17" s="221"/>
      <c r="Q17" s="235"/>
      <c r="R17" s="522"/>
      <c r="S17" s="523"/>
    </row>
    <row r="18" spans="2:19" ht="16.5" thickBot="1" x14ac:dyDescent="0.3">
      <c r="B18" s="417" t="s">
        <v>278</v>
      </c>
      <c r="C18" s="519" t="s">
        <v>279</v>
      </c>
      <c r="D18" s="349" t="s">
        <v>41</v>
      </c>
      <c r="E18" s="757" cm="1">
        <f t="array" aca="1" ref="E18" ca="1">INDIRECT(ADDRESS(ROW(),MATCH(MAX(G18,I18,K18,M18,O18,Q18,S18),F18:S18,0)-1+COLUMNS(A18:E18),4))</f>
        <v>4.8670999999999998</v>
      </c>
      <c r="F18" s="766">
        <v>3.97</v>
      </c>
      <c r="G18" s="156">
        <v>44489</v>
      </c>
      <c r="H18" s="56">
        <v>4.5</v>
      </c>
      <c r="I18" s="59">
        <v>44698</v>
      </c>
      <c r="J18" s="520">
        <v>4.09</v>
      </c>
      <c r="K18" s="521">
        <v>44908</v>
      </c>
      <c r="L18" s="217">
        <v>5.45</v>
      </c>
      <c r="M18" s="231">
        <v>45040</v>
      </c>
      <c r="N18" s="621">
        <f>4.09+19%*4.09</f>
        <v>4.8670999999999998</v>
      </c>
      <c r="O18" s="233">
        <v>45068</v>
      </c>
      <c r="P18" s="221"/>
      <c r="Q18" s="235"/>
      <c r="R18" s="522"/>
      <c r="S18" s="523"/>
    </row>
    <row r="19" spans="2:19" ht="15.75" thickBot="1" x14ac:dyDescent="0.3">
      <c r="E19" s="43"/>
    </row>
    <row r="20" spans="2:19" ht="16.5" thickBot="1" x14ac:dyDescent="0.3">
      <c r="B20" s="687" t="s">
        <v>268</v>
      </c>
      <c r="D20" s="98" t="s">
        <v>351</v>
      </c>
      <c r="E20" s="746" cm="1">
        <f t="array" aca="1" ref="E20" ca="1">INDIRECT(ADDRESS(ROW(),MATCH(MAX(G20,I20,K20,M20,O20,Q20,S20),F20:S20,0)-1+COLUMNS(A20:E20),4))</f>
        <v>82.62</v>
      </c>
      <c r="F20" s="614">
        <f>(510-19%*510)/5</f>
        <v>82.62</v>
      </c>
      <c r="G20" s="156">
        <v>44907</v>
      </c>
      <c r="H20" s="56"/>
      <c r="I20" s="59"/>
      <c r="J20" s="520"/>
      <c r="K20" s="521"/>
      <c r="L20" s="217"/>
      <c r="M20" s="231"/>
      <c r="N20" s="219"/>
      <c r="O20" s="233"/>
      <c r="P20" s="221"/>
      <c r="Q20" s="235"/>
      <c r="R20" s="522"/>
      <c r="S20" s="523"/>
    </row>
    <row r="21" spans="2:19" ht="15.75" x14ac:dyDescent="0.25">
      <c r="B21" s="688" t="s">
        <v>406</v>
      </c>
      <c r="C21" s="689"/>
    </row>
    <row r="23" spans="2:19" x14ac:dyDescent="0.25">
      <c r="B23" s="545"/>
      <c r="C23" s="545"/>
    </row>
  </sheetData>
  <mergeCells count="11">
    <mergeCell ref="M5:M6"/>
    <mergeCell ref="O5:O6"/>
    <mergeCell ref="Q5:Q6"/>
    <mergeCell ref="S5:S6"/>
    <mergeCell ref="C5:C6"/>
    <mergeCell ref="K5:K6"/>
    <mergeCell ref="B4:D4"/>
    <mergeCell ref="B5:B6"/>
    <mergeCell ref="D5:D6"/>
    <mergeCell ref="G5:G6"/>
    <mergeCell ref="I5:I6"/>
  </mergeCells>
  <hyperlinks>
    <hyperlink ref="A1" location="CUPRINS!A1" display="CUPRINS" xr:uid="{7AC1EF70-4522-4B7D-9DBF-1CE27FBF64AF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C1A04-8D9D-4AE1-8997-A2205394DD63}">
  <sheetPr codeName="Sheet22"/>
  <dimension ref="B2:I11"/>
  <sheetViews>
    <sheetView workbookViewId="0">
      <selection activeCell="B2" sqref="B2"/>
    </sheetView>
  </sheetViews>
  <sheetFormatPr defaultRowHeight="15" x14ac:dyDescent="0.25"/>
  <cols>
    <col min="3" max="3" width="11" customWidth="1"/>
  </cols>
  <sheetData>
    <row r="2" spans="2:9" x14ac:dyDescent="0.25">
      <c r="B2" s="544" t="s">
        <v>297</v>
      </c>
    </row>
    <row r="4" spans="2:9" x14ac:dyDescent="0.25">
      <c r="D4" s="545" t="s">
        <v>302</v>
      </c>
    </row>
    <row r="5" spans="2:9" x14ac:dyDescent="0.25">
      <c r="B5" s="545" t="s">
        <v>298</v>
      </c>
      <c r="C5" s="445" t="s">
        <v>299</v>
      </c>
    </row>
    <row r="7" spans="2:9" x14ac:dyDescent="0.25">
      <c r="B7" s="11" t="s">
        <v>300</v>
      </c>
      <c r="C7" t="s">
        <v>301</v>
      </c>
      <c r="D7" s="141">
        <v>43861</v>
      </c>
    </row>
    <row r="9" spans="2:9" x14ac:dyDescent="0.25">
      <c r="B9" s="441" t="s">
        <v>311</v>
      </c>
      <c r="D9" t="s">
        <v>308</v>
      </c>
      <c r="F9">
        <f>1469/5</f>
        <v>293.8</v>
      </c>
      <c r="G9" t="s">
        <v>309</v>
      </c>
      <c r="H9">
        <f>F9/400</f>
        <v>0.73450000000000004</v>
      </c>
      <c r="I9" t="s">
        <v>310</v>
      </c>
    </row>
    <row r="11" spans="2:9" x14ac:dyDescent="0.25">
      <c r="B11" s="441" t="s">
        <v>307</v>
      </c>
      <c r="D11" s="11">
        <f>600</f>
        <v>600</v>
      </c>
      <c r="E11" s="441" t="s">
        <v>312</v>
      </c>
      <c r="F11">
        <f>600/1000</f>
        <v>0.6</v>
      </c>
      <c r="G11" s="441" t="s">
        <v>313</v>
      </c>
    </row>
  </sheetData>
  <hyperlinks>
    <hyperlink ref="B2" location="CUPRINS!A1" display="Curpins" xr:uid="{2FF2C37D-913F-4054-8697-F2838756C50D}"/>
    <hyperlink ref="C5" r:id="rId1" display="vatset.nok" xr:uid="{EF31F1CD-2AFF-4447-B31E-FC71194C5628}"/>
  </hyperlinks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DB73F-4014-49BC-B862-FB2C7D902846}">
  <sheetPr codeName="Sheet18"/>
  <dimension ref="A1:G5"/>
  <sheetViews>
    <sheetView workbookViewId="0"/>
  </sheetViews>
  <sheetFormatPr defaultRowHeight="15" x14ac:dyDescent="0.25"/>
  <cols>
    <col min="3" max="3" width="10" customWidth="1"/>
  </cols>
  <sheetData>
    <row r="1" spans="1:7" ht="15.75" thickBot="1" x14ac:dyDescent="0.3">
      <c r="A1" s="445" t="s">
        <v>199</v>
      </c>
    </row>
    <row r="2" spans="1:7" ht="15.75" thickBot="1" x14ac:dyDescent="0.3">
      <c r="B2" s="1">
        <v>1</v>
      </c>
      <c r="C2" s="1" t="s">
        <v>39</v>
      </c>
    </row>
    <row r="3" spans="1:7" ht="15.75" thickBot="1" x14ac:dyDescent="0.3">
      <c r="B3" s="487">
        <v>5.03</v>
      </c>
      <c r="C3" s="672">
        <v>45062</v>
      </c>
    </row>
    <row r="5" spans="1:7" x14ac:dyDescent="0.25">
      <c r="B5" s="731" t="s">
        <v>466</v>
      </c>
      <c r="C5" s="671"/>
      <c r="D5" s="671"/>
      <c r="E5" s="671"/>
      <c r="F5" s="671"/>
      <c r="G5" s="671"/>
    </row>
  </sheetData>
  <hyperlinks>
    <hyperlink ref="A1" location="CUPRINS!A1" display="CUPRINS" xr:uid="{FB06BDAA-330D-4AE6-92FF-4737711085A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</vt:i4>
      </vt:variant>
    </vt:vector>
  </HeadingPairs>
  <TitlesOfParts>
    <vt:vector size="23" baseType="lpstr">
      <vt:lpstr>CUPRINS</vt:lpstr>
      <vt:lpstr>1.Bara rotunda(Round Steel)</vt:lpstr>
      <vt:lpstr>2.Bara patrata(Square Steel)</vt:lpstr>
      <vt:lpstr>3.Coturi(Corners)</vt:lpstr>
      <vt:lpstr>4.Platbanda(Plate)</vt:lpstr>
      <vt:lpstr>5.Plasă sudată(Welding Nets)</vt:lpstr>
      <vt:lpstr>6.Profile(Plofile L,U, ...)</vt:lpstr>
      <vt:lpstr>7.Q railing </vt:lpstr>
      <vt:lpstr>8.Tabla neteda</vt:lpstr>
      <vt:lpstr>9.Tablă expd.(Expanded Plate)</vt:lpstr>
      <vt:lpstr>10.Tabla striata(Tåreplater)</vt:lpstr>
      <vt:lpstr>11.Tablă Zi(Galvanizated Plate)</vt:lpstr>
      <vt:lpstr>12.Teava rotunda(Round Pipe)</vt:lpstr>
      <vt:lpstr>13.Teava patrata(Square Pipe)</vt:lpstr>
      <vt:lpstr>14.Teava rectang.(Rectangular)</vt:lpstr>
      <vt:lpstr>15.Întinzător(Tensioner)</vt:lpstr>
      <vt:lpstr>16.Grătare(Gratinn)</vt:lpstr>
      <vt:lpstr>17.Tije filetate(Threaded Rod)</vt:lpstr>
      <vt:lpstr>18.Consumabile(Supplies)</vt:lpstr>
      <vt:lpstr>19.Feronart</vt:lpstr>
      <vt:lpstr>20.Lemn+Metal+Zincare</vt:lpstr>
      <vt:lpstr>Euro</vt:lpstr>
      <vt:lpstr>'6.Profile(Plofile L,U, ...)'!Print_Area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Bogdan</dc:creator>
  <cp:lastModifiedBy>Bogdan</cp:lastModifiedBy>
  <cp:lastPrinted>2023-04-28T10:38:36Z</cp:lastPrinted>
  <dcterms:created xsi:type="dcterms:W3CDTF">2017-06-27T06:59:38Z</dcterms:created>
  <dcterms:modified xsi:type="dcterms:W3CDTF">2023-10-05T09:31:59Z</dcterms:modified>
</cp:coreProperties>
</file>