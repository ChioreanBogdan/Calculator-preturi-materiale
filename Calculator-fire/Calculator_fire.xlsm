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S:\Preturi\PRETURI MATERIALE\"/>
    </mc:Choice>
  </mc:AlternateContent>
  <xr:revisionPtr revIDLastSave="0" documentId="13_ncr:1_{AF8D0459-FD90-4946-94D1-5F9295223632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20788-1" sheetId="1" r:id="rId1"/>
    <sheet name="Necesar fire" sheetId="3" r:id="rId2"/>
    <sheet name="Despartire_formula" sheetId="2" r:id="rId3"/>
    <sheet name="Calcule fire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2" l="1"/>
  <c r="B8" i="1" l="1"/>
  <c r="G13" i="1"/>
  <c r="G12" i="1"/>
  <c r="N21" i="1"/>
  <c r="N20" i="1"/>
  <c r="N19" i="1"/>
  <c r="N18" i="1"/>
  <c r="N17" i="1"/>
  <c r="N16" i="1"/>
  <c r="N15" i="1"/>
  <c r="N14" i="1"/>
  <c r="N13" i="1"/>
  <c r="J27" i="1"/>
  <c r="J26" i="1"/>
  <c r="J25" i="1"/>
  <c r="J24" i="1"/>
  <c r="J23" i="1"/>
  <c r="J22" i="1"/>
  <c r="E14" i="1"/>
  <c r="E15" i="1"/>
  <c r="E16" i="1"/>
  <c r="E17" i="1"/>
  <c r="E18" i="1"/>
  <c r="E19" i="1"/>
  <c r="E20" i="1"/>
  <c r="E21" i="1"/>
  <c r="E13" i="1"/>
  <c r="E12" i="1"/>
  <c r="N32" i="1" l="1"/>
  <c r="G32" i="1"/>
  <c r="F32" i="1"/>
  <c r="N31" i="1"/>
  <c r="G31" i="1"/>
  <c r="F31" i="1"/>
  <c r="N30" i="1"/>
  <c r="G30" i="1"/>
  <c r="F30" i="1"/>
  <c r="N29" i="1"/>
  <c r="G29" i="1"/>
  <c r="F29" i="1"/>
  <c r="N28" i="1"/>
  <c r="G28" i="1"/>
  <c r="F28" i="1"/>
  <c r="E28" i="1"/>
  <c r="N27" i="1"/>
  <c r="G27" i="1"/>
  <c r="F27" i="1"/>
  <c r="E27" i="1"/>
  <c r="B27" i="1"/>
  <c r="N26" i="1"/>
  <c r="G26" i="1"/>
  <c r="F26" i="1"/>
  <c r="E26" i="1"/>
  <c r="E23" i="1"/>
  <c r="E22" i="1"/>
  <c r="E25" i="1"/>
  <c r="E24" i="1"/>
  <c r="G25" i="1"/>
  <c r="N25" i="1"/>
  <c r="N24" i="1"/>
  <c r="N22" i="1"/>
  <c r="N23" i="1"/>
  <c r="F24" i="1"/>
  <c r="F25" i="1"/>
  <c r="B25" i="1"/>
  <c r="G24" i="1"/>
  <c r="B23" i="1"/>
  <c r="G23" i="1"/>
  <c r="F23" i="1"/>
  <c r="F22" i="1"/>
  <c r="G22" i="1"/>
  <c r="G21" i="1"/>
  <c r="F21" i="1"/>
  <c r="B21" i="1"/>
  <c r="P20" i="1" l="1"/>
  <c r="G20" i="1"/>
  <c r="F20" i="1"/>
  <c r="G19" i="1"/>
  <c r="F19" i="1"/>
  <c r="B19" i="1"/>
  <c r="G18" i="1"/>
  <c r="F18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P18" i="1"/>
  <c r="Q17" i="1"/>
  <c r="P17" i="1"/>
  <c r="G17" i="1"/>
  <c r="F17" i="1"/>
  <c r="B17" i="1"/>
  <c r="G16" i="1"/>
  <c r="F16" i="1"/>
  <c r="N12" i="1"/>
  <c r="G15" i="1"/>
  <c r="F15" i="1"/>
  <c r="G14" i="1"/>
  <c r="B15" i="1"/>
  <c r="B13" i="1"/>
  <c r="F14" i="1"/>
  <c r="F13" i="1"/>
  <c r="F12" i="1"/>
  <c r="B12" i="1"/>
  <c r="H115" i="3"/>
  <c r="C31" i="3"/>
  <c r="L68" i="1"/>
  <c r="N33" i="1" l="1"/>
  <c r="C41" i="1"/>
  <c r="C45" i="1"/>
  <c r="C40" i="1" l="1"/>
  <c r="F40" i="1"/>
  <c r="D17" i="1" l="1"/>
  <c r="K33" i="1" l="1"/>
  <c r="J33" i="1"/>
  <c r="E33" i="1" l="1"/>
  <c r="F37" i="1" s="1"/>
  <c r="C37" i="1" s="1"/>
  <c r="C33" i="1"/>
  <c r="E37" i="1" l="1"/>
  <c r="G33" i="1"/>
  <c r="F33" i="1"/>
  <c r="F38" i="1" s="1"/>
  <c r="C38" i="1" s="1"/>
  <c r="F41" i="1" l="1"/>
  <c r="C42" i="1"/>
  <c r="F42" i="1" s="1"/>
  <c r="C66" i="1"/>
  <c r="F39" i="1" l="1"/>
  <c r="C39" i="1" s="1"/>
  <c r="C44" i="1"/>
  <c r="C43" i="1"/>
  <c r="F43" i="1" s="1"/>
  <c r="B68" i="1" l="1"/>
  <c r="C67" i="1"/>
  <c r="B67" i="1" l="1"/>
  <c r="B66" i="1"/>
  <c r="D15" i="1" l="1"/>
  <c r="D16" i="1" l="1"/>
  <c r="D14" i="1" l="1"/>
  <c r="D13" i="1"/>
  <c r="E39" i="1" s="1"/>
  <c r="D12" i="1"/>
  <c r="D33" i="1" l="1"/>
  <c r="E41" i="1"/>
  <c r="E42" i="1"/>
  <c r="E52" i="1" l="1"/>
  <c r="F60" i="1" s="1"/>
  <c r="D60" i="1" s="1"/>
  <c r="A74" i="1"/>
  <c r="F45" i="1"/>
  <c r="F36" i="1"/>
  <c r="A35" i="1"/>
  <c r="E69" i="1"/>
  <c r="E72" i="1" s="1"/>
  <c r="E40" i="1"/>
  <c r="E38" i="1"/>
  <c r="D68" i="1"/>
  <c r="E43" i="1"/>
  <c r="F44" i="1"/>
  <c r="E44" i="1"/>
  <c r="F48" i="1" l="1"/>
  <c r="F49" i="1" s="1"/>
  <c r="I52" i="1"/>
  <c r="F58" i="1"/>
  <c r="C46" i="1"/>
  <c r="E46" i="1" s="1"/>
  <c r="E45" i="1"/>
  <c r="D66" i="1" l="1"/>
  <c r="D67" i="1"/>
  <c r="D47" i="1"/>
  <c r="E47" i="1" s="1"/>
  <c r="E48" i="1" s="1"/>
  <c r="I48" i="1" l="1"/>
  <c r="F57" i="1" l="1"/>
  <c r="F59" i="1" s="1"/>
  <c r="F61" i="1" s="1"/>
  <c r="F62" i="1" s="1"/>
  <c r="F63" i="1" s="1"/>
  <c r="F64" i="1" s="1"/>
  <c r="D69" i="1" s="1"/>
  <c r="I64" i="1" s="1"/>
  <c r="B77" i="1" l="1"/>
  <c r="C77" i="1" s="1"/>
  <c r="D77" i="1" s="1"/>
  <c r="E77" i="1" s="1"/>
  <c r="D70" i="1"/>
  <c r="D72" i="1" s="1"/>
</calcChain>
</file>

<file path=xl/sharedStrings.xml><?xml version="1.0" encoding="utf-8"?>
<sst xmlns="http://schemas.openxmlformats.org/spreadsheetml/2006/main" count="171" uniqueCount="126">
  <si>
    <t xml:space="preserve"> </t>
  </si>
  <si>
    <t>L</t>
  </si>
  <si>
    <t>pcs</t>
  </si>
  <si>
    <t>[m]</t>
  </si>
  <si>
    <t>Total</t>
  </si>
  <si>
    <t>UM</t>
  </si>
  <si>
    <t>kg</t>
  </si>
  <si>
    <t>Welding wire</t>
  </si>
  <si>
    <t xml:space="preserve">Gas for welding </t>
  </si>
  <si>
    <t>kg/m=</t>
  </si>
  <si>
    <t>hours</t>
  </si>
  <si>
    <t>%</t>
  </si>
  <si>
    <t>RON</t>
  </si>
  <si>
    <t>2. Leibour price</t>
  </si>
  <si>
    <t xml:space="preserve">3. Transport </t>
  </si>
  <si>
    <t>10%</t>
  </si>
  <si>
    <t>5. Indirect expensis/hour prod.</t>
  </si>
  <si>
    <t>6. Fabrication cost</t>
  </si>
  <si>
    <t>7. Profit</t>
  </si>
  <si>
    <t>8.Price without  TVA</t>
  </si>
  <si>
    <t>9.Price nok</t>
  </si>
  <si>
    <t>1NOK=</t>
  </si>
  <si>
    <t>eur/nok=</t>
  </si>
  <si>
    <t xml:space="preserve">Heaviness (kg) </t>
  </si>
  <si>
    <t>Zn</t>
  </si>
  <si>
    <t>Freight cost to Zn</t>
  </si>
  <si>
    <t>Area (sqm)</t>
  </si>
  <si>
    <t>Paint</t>
  </si>
  <si>
    <t>work price</t>
  </si>
  <si>
    <t>Freight cost=13%/work price</t>
  </si>
  <si>
    <t>Export price Hamre Romania</t>
  </si>
  <si>
    <t>13%</t>
  </si>
  <si>
    <t>Raw</t>
  </si>
  <si>
    <t>Cost/hour</t>
  </si>
  <si>
    <t>1. Calculation subassembly</t>
  </si>
  <si>
    <t>Necessary</t>
  </si>
  <si>
    <t>Price/unit</t>
  </si>
  <si>
    <t>Total price</t>
  </si>
  <si>
    <t>3. Calculation articles</t>
  </si>
  <si>
    <t>Price  Norway</t>
  </si>
  <si>
    <t>[Nok]</t>
  </si>
  <si>
    <t xml:space="preserve">Price/m </t>
  </si>
  <si>
    <t>[Nok/m]</t>
  </si>
  <si>
    <t>Packing</t>
  </si>
  <si>
    <t>1. Raw materials price</t>
  </si>
  <si>
    <t xml:space="preserve">         Name</t>
  </si>
  <si>
    <r>
      <t xml:space="preserve">L </t>
    </r>
    <r>
      <rPr>
        <b/>
        <sz val="9"/>
        <rFont val="Arial"/>
        <family val="2"/>
      </rPr>
      <t>tot.</t>
    </r>
  </si>
  <si>
    <r>
      <t>m</t>
    </r>
    <r>
      <rPr>
        <b/>
        <vertAlign val="superscript"/>
        <sz val="10"/>
        <rFont val="Arial"/>
        <family val="2"/>
      </rPr>
      <t>3</t>
    </r>
  </si>
  <si>
    <t>[kg]</t>
  </si>
  <si>
    <t>Total:</t>
  </si>
  <si>
    <t>Welding</t>
  </si>
  <si>
    <t>nut M8/A2</t>
  </si>
  <si>
    <t>washerplate M8/A2</t>
  </si>
  <si>
    <t>grower MN8/A2</t>
  </si>
  <si>
    <t>screw M8x25 c.i/A2</t>
  </si>
  <si>
    <t>Manopera catalog:</t>
  </si>
  <si>
    <t>h/m</t>
  </si>
  <si>
    <t xml:space="preserve"> H=1000 mm</t>
  </si>
  <si>
    <t>pl 40x6</t>
  </si>
  <si>
    <t>plate 40x6</t>
  </si>
  <si>
    <t>spile 40x6mm,frame in</t>
  </si>
  <si>
    <t xml:space="preserve">50x8mm </t>
  </si>
  <si>
    <t>pl 50x8</t>
  </si>
  <si>
    <t>plate 100x8</t>
  </si>
  <si>
    <t>Plate 100x8</t>
  </si>
  <si>
    <r>
      <rPr>
        <sz val="11"/>
        <rFont val="Arial"/>
        <family val="2"/>
      </rPr>
      <t>Catalog 0062 FINNA40 (Pret mai 2022:  1709 [Nok/m] ;  Pret</t>
    </r>
    <r>
      <rPr>
        <b/>
        <sz val="11"/>
        <rFont val="Arial"/>
        <family val="2"/>
      </rPr>
      <t xml:space="preserve"> februarie </t>
    </r>
    <r>
      <rPr>
        <sz val="11"/>
        <rFont val="Arial"/>
        <family val="2"/>
      </rPr>
      <t xml:space="preserve">2022:  </t>
    </r>
    <r>
      <rPr>
        <b/>
        <sz val="11"/>
        <rFont val="Arial"/>
        <family val="2"/>
      </rPr>
      <t xml:space="preserve">1599 </t>
    </r>
    <r>
      <rPr>
        <sz val="11"/>
        <rFont val="Arial"/>
        <family val="2"/>
      </rPr>
      <t xml:space="preserve">[Nok/m] ;  Pret </t>
    </r>
    <r>
      <rPr>
        <b/>
        <sz val="11"/>
        <rFont val="Arial"/>
        <family val="2"/>
      </rPr>
      <t>Septembri</t>
    </r>
    <r>
      <rPr>
        <sz val="11"/>
        <rFont val="Arial"/>
        <family val="2"/>
      </rPr>
      <t>e 2021: 1469] [Nok/m] )</t>
    </r>
  </si>
  <si>
    <t>plate 50x8</t>
  </si>
  <si>
    <t>lat 50x8</t>
  </si>
  <si>
    <t>lat 40x6</t>
  </si>
  <si>
    <t>`</t>
  </si>
  <si>
    <t>P1</t>
  </si>
  <si>
    <t>[pcs]</t>
  </si>
  <si>
    <t>P2</t>
  </si>
  <si>
    <t>plate 30x6</t>
  </si>
  <si>
    <t>5.5 nok/m in catalog</t>
  </si>
  <si>
    <t xml:space="preserve">  RAL</t>
  </si>
  <si>
    <t xml:space="preserve">L [m]= </t>
  </si>
  <si>
    <t>19770-1-1</t>
  </si>
  <si>
    <t>19770-1-2</t>
  </si>
  <si>
    <t>19770-1-3</t>
  </si>
  <si>
    <t>19770-1-4</t>
  </si>
  <si>
    <t>19770-1-5/1</t>
  </si>
  <si>
    <t>19770-1-5/2</t>
  </si>
  <si>
    <t>19770-1-6</t>
  </si>
  <si>
    <t>BNR</t>
  </si>
  <si>
    <t>BTRL</t>
  </si>
  <si>
    <t>leu</t>
  </si>
  <si>
    <t>eur</t>
  </si>
  <si>
    <t>nok</t>
  </si>
  <si>
    <t>eur/nok</t>
  </si>
  <si>
    <t>8 fire</t>
  </si>
  <si>
    <t>20 fire</t>
  </si>
  <si>
    <t xml:space="preserve">20788-1-Fence in flatsteel </t>
  </si>
  <si>
    <t>20788-1-1</t>
  </si>
  <si>
    <t>20788-1-2</t>
  </si>
  <si>
    <t>20788-1-3</t>
  </si>
  <si>
    <t>20788-1-4</t>
  </si>
  <si>
    <t>20788-1-5</t>
  </si>
  <si>
    <t>20788-1-6</t>
  </si>
  <si>
    <t>20788-1-7</t>
  </si>
  <si>
    <t>20788-1-8</t>
  </si>
  <si>
    <t>20788-1-9</t>
  </si>
  <si>
    <t>20788-1-10</t>
  </si>
  <si>
    <t>20788-1-11</t>
  </si>
  <si>
    <t>20788-1-12</t>
  </si>
  <si>
    <t>20788-1-13</t>
  </si>
  <si>
    <t>20788-1-14</t>
  </si>
  <si>
    <t>20788-1-15</t>
  </si>
  <si>
    <t>20788-1-16</t>
  </si>
  <si>
    <t>20788-1-17</t>
  </si>
  <si>
    <t>20788-1-18</t>
  </si>
  <si>
    <t>20788-1-19</t>
  </si>
  <si>
    <t>20788-1-20</t>
  </si>
  <si>
    <t>20788-1-21</t>
  </si>
  <si>
    <t>Formula de despartit se pune aici-&gt;</t>
  </si>
  <si>
    <t>Ce e intre paranteze in formula apare aici-&gt;</t>
  </si>
  <si>
    <t>Componente formula</t>
  </si>
  <si>
    <t>Nr bucati</t>
  </si>
  <si>
    <t>Fire rezultate</t>
  </si>
  <si>
    <t>Lungime fir [m]:</t>
  </si>
  <si>
    <t>Grosime panza [mm]:</t>
  </si>
  <si>
    <t>Pierdere capat [mm]:</t>
  </si>
  <si>
    <t>Ctrl+A pt a sterge toate lungimile de taiat si numar bucati</t>
  </si>
  <si>
    <t>Spatiu gol in "Nr bucati"=se considera o bucata</t>
  </si>
  <si>
    <t>Lungimi de taiat [m]</t>
  </si>
  <si>
    <t>=(3.02+0.93+0.107+0.948+0.991+0.944+0.982*2)*0.05*0.01*7850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</si>
</sst>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#,##0.000"/>
  </numFmts>
  <fonts count="30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color rgb="FFFF0000"/>
      <name val="Arial"/>
      <family val="2"/>
    </font>
    <font>
      <sz val="10"/>
      <color theme="5" tint="-0.499984740745262"/>
      <name val="Arial"/>
      <family val="2"/>
    </font>
    <font>
      <sz val="10"/>
      <color rgb="FFD289EF"/>
      <name val="Arial"/>
      <family val="2"/>
    </font>
    <font>
      <sz val="10"/>
      <color rgb="FF00B0F0"/>
      <name val="Arial"/>
      <family val="2"/>
    </font>
    <font>
      <sz val="10"/>
      <color indexed="10"/>
      <name val="Arial"/>
      <family val="2"/>
    </font>
    <font>
      <sz val="10"/>
      <color indexed="14"/>
      <name val="Arial"/>
      <family val="2"/>
    </font>
    <font>
      <b/>
      <sz val="12"/>
      <color theme="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b/>
      <sz val="10"/>
      <name val="Arial CE"/>
      <charset val="238"/>
    </font>
    <font>
      <sz val="8"/>
      <name val="Calibri"/>
      <family val="2"/>
      <scheme val="minor"/>
    </font>
    <font>
      <b/>
      <sz val="10"/>
      <color rgb="FFC00000"/>
      <name val="Arial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vertAlign val="superscript"/>
      <sz val="10"/>
      <name val="Arial"/>
      <family val="2"/>
    </font>
    <font>
      <b/>
      <sz val="14"/>
      <color theme="1"/>
      <name val="Calibri"/>
      <family val="2"/>
      <scheme val="minor"/>
    </font>
    <font>
      <sz val="11"/>
      <name val="Arial"/>
      <family val="2"/>
    </font>
    <font>
      <sz val="10"/>
      <name val="Arial"/>
      <family val="2"/>
      <charset val="238"/>
    </font>
    <font>
      <b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286">
    <xf numFmtId="0" fontId="0" fillId="0" borderId="0" xfId="0"/>
    <xf numFmtId="0" fontId="4" fillId="0" borderId="0" xfId="0" applyFon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7" fillId="0" borderId="0" xfId="0" applyFont="1"/>
    <xf numFmtId="0" fontId="5" fillId="0" borderId="0" xfId="0" applyFont="1"/>
    <xf numFmtId="0" fontId="6" fillId="0" borderId="0" xfId="0" applyFont="1" applyAlignment="1">
      <alignment horizontal="right"/>
    </xf>
    <xf numFmtId="0" fontId="5" fillId="0" borderId="0" xfId="0" applyFont="1" applyAlignment="1">
      <alignment horizontal="left"/>
    </xf>
    <xf numFmtId="0" fontId="6" fillId="0" borderId="0" xfId="0" applyFont="1"/>
    <xf numFmtId="164" fontId="4" fillId="0" borderId="0" xfId="0" applyNumberFormat="1" applyFont="1" applyAlignment="1">
      <alignment horizontal="right"/>
    </xf>
    <xf numFmtId="0" fontId="5" fillId="0" borderId="0" xfId="0" applyFont="1" applyAlignment="1">
      <alignment horizontal="center" vertical="center"/>
    </xf>
    <xf numFmtId="2" fontId="9" fillId="0" borderId="0" xfId="0" applyNumberFormat="1" applyFont="1"/>
    <xf numFmtId="164" fontId="5" fillId="0" borderId="0" xfId="0" applyNumberFormat="1" applyFont="1" applyAlignment="1">
      <alignment horizontal="right"/>
    </xf>
    <xf numFmtId="2" fontId="4" fillId="0" borderId="0" xfId="0" applyNumberFormat="1" applyFont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0" fontId="6" fillId="0" borderId="1" xfId="0" applyFont="1" applyBorder="1"/>
    <xf numFmtId="0" fontId="6" fillId="0" borderId="3" xfId="0" applyFont="1" applyBorder="1" applyAlignment="1">
      <alignment horizontal="center"/>
    </xf>
    <xf numFmtId="0" fontId="4" fillId="0" borderId="0" xfId="0" applyFont="1" applyAlignment="1">
      <alignment vertical="center"/>
    </xf>
    <xf numFmtId="2" fontId="6" fillId="0" borderId="0" xfId="0" applyNumberFormat="1" applyFont="1"/>
    <xf numFmtId="165" fontId="4" fillId="0" borderId="0" xfId="0" applyNumberFormat="1" applyFont="1" applyAlignment="1">
      <alignment horizontal="left"/>
    </xf>
    <xf numFmtId="4" fontId="5" fillId="0" borderId="0" xfId="0" applyNumberFormat="1" applyFont="1"/>
    <xf numFmtId="166" fontId="5" fillId="0" borderId="0" xfId="0" applyNumberFormat="1" applyFont="1"/>
    <xf numFmtId="1" fontId="6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left"/>
    </xf>
    <xf numFmtId="1" fontId="4" fillId="0" borderId="0" xfId="0" applyNumberFormat="1" applyFont="1"/>
    <xf numFmtId="1" fontId="5" fillId="0" borderId="0" xfId="0" applyNumberFormat="1" applyFont="1" applyAlignment="1">
      <alignment horizontal="left"/>
    </xf>
    <xf numFmtId="1" fontId="7" fillId="0" borderId="0" xfId="0" applyNumberFormat="1" applyFont="1" applyAlignment="1">
      <alignment horizontal="left"/>
    </xf>
    <xf numFmtId="2" fontId="13" fillId="0" borderId="0" xfId="0" applyNumberFormat="1" applyFont="1" applyAlignment="1">
      <alignment horizontal="center"/>
    </xf>
    <xf numFmtId="3" fontId="5" fillId="0" borderId="0" xfId="0" applyNumberFormat="1" applyFont="1"/>
    <xf numFmtId="3" fontId="5" fillId="0" borderId="0" xfId="0" applyNumberFormat="1" applyFont="1" applyAlignment="1">
      <alignment horizontal="center" vertical="center"/>
    </xf>
    <xf numFmtId="0" fontId="4" fillId="0" borderId="17" xfId="0" applyFont="1" applyBorder="1"/>
    <xf numFmtId="165" fontId="5" fillId="0" borderId="18" xfId="0" applyNumberFormat="1" applyFont="1" applyBorder="1"/>
    <xf numFmtId="4" fontId="5" fillId="0" borderId="18" xfId="0" applyNumberFormat="1" applyFont="1" applyBorder="1"/>
    <xf numFmtId="3" fontId="5" fillId="0" borderId="18" xfId="0" applyNumberFormat="1" applyFont="1" applyBorder="1" applyAlignment="1">
      <alignment horizontal="right"/>
    </xf>
    <xf numFmtId="2" fontId="6" fillId="0" borderId="3" xfId="0" applyNumberFormat="1" applyFont="1" applyBorder="1" applyAlignment="1">
      <alignment horizontal="left" vertical="center"/>
    </xf>
    <xf numFmtId="165" fontId="5" fillId="0" borderId="0" xfId="0" applyNumberFormat="1" applyFont="1"/>
    <xf numFmtId="0" fontId="5" fillId="0" borderId="0" xfId="0" applyFont="1" applyAlignment="1">
      <alignment horizontal="right"/>
    </xf>
    <xf numFmtId="49" fontId="6" fillId="0" borderId="2" xfId="0" applyNumberFormat="1" applyFont="1" applyBorder="1" applyAlignment="1">
      <alignment horizontal="center" vertical="center"/>
    </xf>
    <xf numFmtId="3" fontId="6" fillId="0" borderId="3" xfId="0" applyNumberFormat="1" applyFont="1" applyBorder="1" applyAlignment="1">
      <alignment horizontal="center" vertical="center"/>
    </xf>
    <xf numFmtId="49" fontId="6" fillId="0" borderId="5" xfId="0" applyNumberFormat="1" applyFont="1" applyBorder="1" applyAlignment="1">
      <alignment horizontal="center" vertical="center"/>
    </xf>
    <xf numFmtId="3" fontId="6" fillId="0" borderId="5" xfId="0" applyNumberFormat="1" applyFont="1" applyBorder="1" applyAlignment="1">
      <alignment horizontal="center" vertical="center"/>
    </xf>
    <xf numFmtId="3" fontId="6" fillId="0" borderId="6" xfId="0" applyNumberFormat="1" applyFont="1" applyBorder="1" applyAlignment="1">
      <alignment horizontal="center" vertical="center"/>
    </xf>
    <xf numFmtId="3" fontId="5" fillId="0" borderId="18" xfId="0" applyNumberFormat="1" applyFont="1" applyBorder="1" applyAlignment="1">
      <alignment horizontal="right" vertical="center"/>
    </xf>
    <xf numFmtId="0" fontId="4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3" fontId="16" fillId="0" borderId="2" xfId="0" applyNumberFormat="1" applyFont="1" applyBorder="1" applyAlignment="1">
      <alignment horizontal="center" vertical="center"/>
    </xf>
    <xf numFmtId="4" fontId="6" fillId="0" borderId="0" xfId="0" applyNumberFormat="1" applyFont="1"/>
    <xf numFmtId="0" fontId="14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0" fillId="0" borderId="0" xfId="0" applyFont="1"/>
    <xf numFmtId="2" fontId="7" fillId="0" borderId="11" xfId="0" applyNumberFormat="1" applyFont="1" applyBorder="1" applyAlignment="1">
      <alignment horizontal="center" vertical="center"/>
    </xf>
    <xf numFmtId="0" fontId="6" fillId="0" borderId="12" xfId="0" applyFont="1" applyBorder="1"/>
    <xf numFmtId="3" fontId="6" fillId="0" borderId="4" xfId="0" applyNumberFormat="1" applyFont="1" applyBorder="1"/>
    <xf numFmtId="0" fontId="5" fillId="0" borderId="32" xfId="0" applyFont="1" applyBorder="1" applyAlignment="1">
      <alignment horizontal="left"/>
    </xf>
    <xf numFmtId="2" fontId="6" fillId="0" borderId="5" xfId="0" applyNumberFormat="1" applyFont="1" applyBorder="1" applyAlignment="1">
      <alignment horizontal="center" vertical="center"/>
    </xf>
    <xf numFmtId="4" fontId="5" fillId="0" borderId="6" xfId="0" applyNumberFormat="1" applyFont="1" applyBorder="1" applyAlignment="1">
      <alignment horizontal="center" vertical="center"/>
    </xf>
    <xf numFmtId="4" fontId="5" fillId="0" borderId="19" xfId="0" applyNumberFormat="1" applyFont="1" applyBorder="1"/>
    <xf numFmtId="49" fontId="5" fillId="0" borderId="0" xfId="0" applyNumberFormat="1" applyFont="1" applyAlignment="1">
      <alignment horizontal="right" vertical="center"/>
    </xf>
    <xf numFmtId="2" fontId="5" fillId="0" borderId="11" xfId="0" applyNumberFormat="1" applyFont="1" applyBorder="1" applyAlignment="1">
      <alignment horizontal="left" vertical="center"/>
    </xf>
    <xf numFmtId="1" fontId="5" fillId="0" borderId="11" xfId="0" applyNumberFormat="1" applyFont="1" applyBorder="1" applyAlignment="1">
      <alignment horizontal="left" vertical="center"/>
    </xf>
    <xf numFmtId="4" fontId="5" fillId="0" borderId="0" xfId="0" applyNumberFormat="1" applyFont="1" applyAlignment="1">
      <alignment horizontal="right" vertical="center"/>
    </xf>
    <xf numFmtId="49" fontId="5" fillId="0" borderId="0" xfId="0" applyNumberFormat="1" applyFont="1"/>
    <xf numFmtId="2" fontId="5" fillId="0" borderId="0" xfId="0" applyNumberFormat="1" applyFont="1" applyAlignment="1">
      <alignment horizontal="left" vertical="top"/>
    </xf>
    <xf numFmtId="2" fontId="6" fillId="0" borderId="11" xfId="0" applyNumberFormat="1" applyFont="1" applyBorder="1" applyAlignment="1">
      <alignment horizontal="left" vertical="center"/>
    </xf>
    <xf numFmtId="0" fontId="4" fillId="0" borderId="20" xfId="0" applyFont="1" applyBorder="1"/>
    <xf numFmtId="2" fontId="5" fillId="0" borderId="10" xfId="0" applyNumberFormat="1" applyFont="1" applyBorder="1"/>
    <xf numFmtId="2" fontId="5" fillId="0" borderId="20" xfId="0" applyNumberFormat="1" applyFont="1" applyBorder="1"/>
    <xf numFmtId="2" fontId="8" fillId="0" borderId="20" xfId="0" applyNumberFormat="1" applyFont="1" applyBorder="1"/>
    <xf numFmtId="3" fontId="5" fillId="0" borderId="19" xfId="0" applyNumberFormat="1" applyFont="1" applyBorder="1"/>
    <xf numFmtId="2" fontId="6" fillId="0" borderId="10" xfId="0" applyNumberFormat="1" applyFont="1" applyBorder="1"/>
    <xf numFmtId="0" fontId="5" fillId="0" borderId="20" xfId="0" applyFont="1" applyBorder="1" applyAlignment="1">
      <alignment horizontal="right"/>
    </xf>
    <xf numFmtId="1" fontId="8" fillId="0" borderId="0" xfId="0" applyNumberFormat="1" applyFont="1"/>
    <xf numFmtId="4" fontId="8" fillId="0" borderId="0" xfId="0" applyNumberFormat="1" applyFont="1"/>
    <xf numFmtId="2" fontId="5" fillId="0" borderId="0" xfId="0" applyNumberFormat="1" applyFont="1"/>
    <xf numFmtId="4" fontId="5" fillId="0" borderId="21" xfId="0" applyNumberFormat="1" applyFont="1" applyBorder="1"/>
    <xf numFmtId="165" fontId="5" fillId="0" borderId="22" xfId="0" applyNumberFormat="1" applyFont="1" applyBorder="1"/>
    <xf numFmtId="4" fontId="5" fillId="0" borderId="22" xfId="0" applyNumberFormat="1" applyFont="1" applyBorder="1"/>
    <xf numFmtId="2" fontId="6" fillId="0" borderId="5" xfId="0" applyNumberFormat="1" applyFont="1" applyBorder="1"/>
    <xf numFmtId="0" fontId="4" fillId="0" borderId="22" xfId="0" applyFont="1" applyBorder="1"/>
    <xf numFmtId="0" fontId="5" fillId="0" borderId="23" xfId="0" applyFont="1" applyBorder="1" applyAlignment="1">
      <alignment horizontal="right"/>
    </xf>
    <xf numFmtId="165" fontId="6" fillId="4" borderId="0" xfId="0" applyNumberFormat="1" applyFont="1" applyFill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2" fontId="3" fillId="0" borderId="2" xfId="0" applyNumberFormat="1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6" fillId="0" borderId="3" xfId="0" applyFont="1" applyBorder="1" applyAlignment="1">
      <alignment horizontal="center" vertical="center"/>
    </xf>
    <xf numFmtId="2" fontId="3" fillId="0" borderId="5" xfId="0" applyNumberFormat="1" applyFont="1" applyBorder="1" applyAlignment="1">
      <alignment horizontal="center" vertical="center"/>
    </xf>
    <xf numFmtId="2" fontId="6" fillId="0" borderId="6" xfId="0" applyNumberFormat="1" applyFont="1" applyBorder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21" fillId="0" borderId="0" xfId="1" applyFont="1" applyFill="1"/>
    <xf numFmtId="165" fontId="6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2" fillId="0" borderId="0" xfId="0" applyFont="1"/>
    <xf numFmtId="0" fontId="25" fillId="0" borderId="0" xfId="0" applyFont="1" applyAlignment="1">
      <alignment horizontal="center"/>
    </xf>
    <xf numFmtId="165" fontId="0" fillId="0" borderId="0" xfId="0" applyNumberFormat="1"/>
    <xf numFmtId="0" fontId="22" fillId="0" borderId="0" xfId="0" applyFont="1" applyAlignment="1">
      <alignment horizontal="center" vertical="center"/>
    </xf>
    <xf numFmtId="0" fontId="5" fillId="0" borderId="32" xfId="0" applyFont="1" applyBorder="1"/>
    <xf numFmtId="165" fontId="4" fillId="0" borderId="19" xfId="0" applyNumberFormat="1" applyFont="1" applyBorder="1"/>
    <xf numFmtId="165" fontId="4" fillId="0" borderId="0" xfId="0" applyNumberFormat="1" applyFont="1"/>
    <xf numFmtId="4" fontId="4" fillId="0" borderId="0" xfId="0" applyNumberFormat="1" applyFont="1"/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left" vertical="top"/>
    </xf>
    <xf numFmtId="0" fontId="3" fillId="0" borderId="0" xfId="0" applyFont="1"/>
    <xf numFmtId="0" fontId="21" fillId="5" borderId="0" xfId="0" applyFont="1" applyFill="1"/>
    <xf numFmtId="0" fontId="0" fillId="5" borderId="0" xfId="0" applyFill="1"/>
    <xf numFmtId="165" fontId="6" fillId="5" borderId="0" xfId="0" applyNumberFormat="1" applyFont="1" applyFill="1" applyAlignment="1">
      <alignment horizontal="left" vertical="center"/>
    </xf>
    <xf numFmtId="0" fontId="5" fillId="5" borderId="0" xfId="0" applyFont="1" applyFill="1" applyAlignment="1">
      <alignment horizontal="left" vertical="center"/>
    </xf>
    <xf numFmtId="0" fontId="5" fillId="5" borderId="0" xfId="0" applyFont="1" applyFill="1"/>
    <xf numFmtId="2" fontId="6" fillId="6" borderId="0" xfId="0" applyNumberFormat="1" applyFont="1" applyFill="1" applyAlignment="1">
      <alignment horizontal="left" vertical="center"/>
    </xf>
    <xf numFmtId="2" fontId="5" fillId="0" borderId="8" xfId="0" applyNumberFormat="1" applyFont="1" applyBorder="1" applyAlignment="1">
      <alignment horizontal="center" vertical="center"/>
    </xf>
    <xf numFmtId="1" fontId="5" fillId="0" borderId="28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165" fontId="4" fillId="0" borderId="8" xfId="0" applyNumberFormat="1" applyFont="1" applyBorder="1" applyAlignment="1">
      <alignment horizontal="center" vertical="center"/>
    </xf>
    <xf numFmtId="165" fontId="5" fillId="0" borderId="33" xfId="0" applyNumberFormat="1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65" fontId="6" fillId="6" borderId="0" xfId="0" applyNumberFormat="1" applyFont="1" applyFill="1" applyAlignment="1">
      <alignment horizontal="center" vertical="center"/>
    </xf>
    <xf numFmtId="165" fontId="5" fillId="0" borderId="32" xfId="0" applyNumberFormat="1" applyFont="1" applyBorder="1" applyAlignment="1">
      <alignment horizontal="center" vertical="center"/>
    </xf>
    <xf numFmtId="0" fontId="3" fillId="0" borderId="31" xfId="0" applyFont="1" applyBorder="1" applyAlignment="1">
      <alignment horizontal="center"/>
    </xf>
    <xf numFmtId="165" fontId="5" fillId="0" borderId="10" xfId="0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4" fontId="6" fillId="0" borderId="7" xfId="0" applyNumberFormat="1" applyFont="1" applyBorder="1" applyAlignment="1">
      <alignment horizont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32" xfId="0" applyFont="1" applyBorder="1"/>
    <xf numFmtId="1" fontId="3" fillId="0" borderId="0" xfId="0" applyNumberFormat="1" applyFont="1" applyAlignment="1">
      <alignment horizontal="center" vertical="center"/>
    </xf>
    <xf numFmtId="2" fontId="4" fillId="0" borderId="0" xfId="0" applyNumberFormat="1" applyFont="1"/>
    <xf numFmtId="0" fontId="10" fillId="0" borderId="32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6" fillId="0" borderId="8" xfId="0" applyFont="1" applyBorder="1" applyAlignment="1">
      <alignment horizontal="center" vertical="center"/>
    </xf>
    <xf numFmtId="165" fontId="4" fillId="0" borderId="10" xfId="0" applyNumberFormat="1" applyFont="1" applyBorder="1" applyAlignment="1">
      <alignment horizontal="center" vertical="center"/>
    </xf>
    <xf numFmtId="1" fontId="5" fillId="0" borderId="10" xfId="0" applyNumberFormat="1" applyFont="1" applyBorder="1" applyAlignment="1">
      <alignment horizontal="center" vertical="center"/>
    </xf>
    <xf numFmtId="2" fontId="3" fillId="0" borderId="10" xfId="0" applyNumberFormat="1" applyFont="1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5" xfId="0" applyFont="1" applyBorder="1" applyAlignment="1">
      <alignment vertical="center"/>
    </xf>
    <xf numFmtId="0" fontId="22" fillId="0" borderId="36" xfId="0" applyFont="1" applyBorder="1" applyAlignment="1">
      <alignment vertical="center"/>
    </xf>
    <xf numFmtId="0" fontId="22" fillId="0" borderId="37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1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6" fillId="0" borderId="31" xfId="0" applyFont="1" applyBorder="1" applyAlignment="1">
      <alignment horizontal="center" vertical="center"/>
    </xf>
    <xf numFmtId="0" fontId="4" fillId="0" borderId="35" xfId="0" applyFont="1" applyBorder="1"/>
    <xf numFmtId="0" fontId="4" fillId="0" borderId="37" xfId="0" applyFont="1" applyBorder="1"/>
    <xf numFmtId="0" fontId="4" fillId="0" borderId="10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23" fillId="0" borderId="0" xfId="0" applyFont="1" applyAlignment="1">
      <alignment horizontal="center" vertical="center"/>
    </xf>
    <xf numFmtId="0" fontId="3" fillId="4" borderId="0" xfId="0" applyFont="1" applyFill="1"/>
    <xf numFmtId="0" fontId="22" fillId="0" borderId="37" xfId="0" applyFont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0" fontId="22" fillId="0" borderId="38" xfId="0" applyFont="1" applyBorder="1" applyAlignment="1">
      <alignment horizontal="center" vertical="center"/>
    </xf>
    <xf numFmtId="0" fontId="22" fillId="0" borderId="39" xfId="0" applyFon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165" fontId="4" fillId="0" borderId="29" xfId="0" applyNumberFormat="1" applyFont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36" xfId="0" applyBorder="1"/>
    <xf numFmtId="0" fontId="0" fillId="0" borderId="37" xfId="0" applyBorder="1"/>
    <xf numFmtId="4" fontId="6" fillId="0" borderId="0" xfId="0" applyNumberFormat="1" applyFont="1" applyAlignment="1">
      <alignment vertical="center"/>
    </xf>
    <xf numFmtId="0" fontId="4" fillId="0" borderId="16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/>
    </xf>
    <xf numFmtId="1" fontId="3" fillId="0" borderId="31" xfId="0" applyNumberFormat="1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0" fillId="0" borderId="19" xfId="0" applyBorder="1"/>
    <xf numFmtId="0" fontId="0" fillId="0" borderId="21" xfId="0" applyBorder="1"/>
    <xf numFmtId="0" fontId="6" fillId="0" borderId="13" xfId="0" applyFont="1" applyBorder="1" applyAlignment="1">
      <alignment vertical="center"/>
    </xf>
    <xf numFmtId="0" fontId="6" fillId="0" borderId="14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165" fontId="5" fillId="0" borderId="10" xfId="0" applyNumberFormat="1" applyFont="1" applyBorder="1"/>
    <xf numFmtId="3" fontId="5" fillId="0" borderId="10" xfId="0" applyNumberFormat="1" applyFont="1" applyBorder="1"/>
    <xf numFmtId="0" fontId="6" fillId="0" borderId="0" xfId="0" applyFont="1" applyAlignment="1">
      <alignment horizontal="left" vertical="center"/>
    </xf>
    <xf numFmtId="0" fontId="27" fillId="0" borderId="10" xfId="0" applyFont="1" applyBorder="1"/>
    <xf numFmtId="0" fontId="0" fillId="0" borderId="10" xfId="0" applyBorder="1"/>
    <xf numFmtId="0" fontId="27" fillId="0" borderId="26" xfId="0" applyFont="1" applyBorder="1"/>
    <xf numFmtId="2" fontId="0" fillId="0" borderId="10" xfId="0" applyNumberFormat="1" applyBorder="1"/>
    <xf numFmtId="4" fontId="4" fillId="0" borderId="19" xfId="0" applyNumberFormat="1" applyFont="1" applyBorder="1"/>
    <xf numFmtId="165" fontId="4" fillId="0" borderId="10" xfId="0" applyNumberFormat="1" applyFont="1" applyBorder="1"/>
    <xf numFmtId="4" fontId="4" fillId="0" borderId="10" xfId="0" applyNumberFormat="1" applyFont="1" applyBorder="1"/>
    <xf numFmtId="2" fontId="4" fillId="0" borderId="10" xfId="0" applyNumberFormat="1" applyFont="1" applyBorder="1"/>
    <xf numFmtId="3" fontId="4" fillId="0" borderId="0" xfId="0" applyNumberFormat="1" applyFont="1"/>
    <xf numFmtId="165" fontId="4" fillId="0" borderId="16" xfId="0" applyNumberFormat="1" applyFont="1" applyBorder="1"/>
    <xf numFmtId="3" fontId="4" fillId="0" borderId="16" xfId="0" applyNumberFormat="1" applyFont="1" applyBorder="1"/>
    <xf numFmtId="2" fontId="4" fillId="0" borderId="16" xfId="0" applyNumberFormat="1" applyFont="1" applyBorder="1"/>
    <xf numFmtId="0" fontId="22" fillId="7" borderId="38" xfId="0" applyFont="1" applyFill="1" applyBorder="1" applyAlignment="1">
      <alignment horizontal="center" vertical="center"/>
    </xf>
    <xf numFmtId="0" fontId="22" fillId="7" borderId="41" xfId="0" applyFont="1" applyFill="1" applyBorder="1" applyAlignment="1">
      <alignment horizontal="center" vertical="center"/>
    </xf>
    <xf numFmtId="0" fontId="22" fillId="8" borderId="38" xfId="0" applyFont="1" applyFill="1" applyBorder="1" applyAlignment="1">
      <alignment horizontal="center" vertical="center"/>
    </xf>
    <xf numFmtId="0" fontId="22" fillId="8" borderId="40" xfId="0" applyFont="1" applyFill="1" applyBorder="1" applyAlignment="1">
      <alignment horizontal="center" vertical="center"/>
    </xf>
    <xf numFmtId="0" fontId="22" fillId="8" borderId="41" xfId="0" applyFont="1" applyFill="1" applyBorder="1" applyAlignment="1">
      <alignment horizontal="center" vertical="center"/>
    </xf>
    <xf numFmtId="0" fontId="22" fillId="7" borderId="42" xfId="0" applyFont="1" applyFill="1" applyBorder="1" applyAlignment="1">
      <alignment horizontal="center" vertical="center"/>
    </xf>
    <xf numFmtId="0" fontId="22" fillId="7" borderId="40" xfId="0" applyFont="1" applyFill="1" applyBorder="1" applyAlignment="1">
      <alignment horizontal="center" vertical="center"/>
    </xf>
    <xf numFmtId="0" fontId="22" fillId="7" borderId="39" xfId="0" applyFont="1" applyFill="1" applyBorder="1" applyAlignment="1">
      <alignment horizontal="center" vertical="center"/>
    </xf>
    <xf numFmtId="0" fontId="22" fillId="7" borderId="36" xfId="0" applyFont="1" applyFill="1" applyBorder="1" applyAlignment="1">
      <alignment horizontal="center" vertical="center"/>
    </xf>
    <xf numFmtId="0" fontId="22" fillId="8" borderId="42" xfId="0" applyFont="1" applyFill="1" applyBorder="1" applyAlignment="1">
      <alignment horizontal="center" vertical="center"/>
    </xf>
    <xf numFmtId="0" fontId="22" fillId="8" borderId="37" xfId="0" applyFont="1" applyFill="1" applyBorder="1" applyAlignment="1">
      <alignment horizontal="center" vertical="center"/>
    </xf>
    <xf numFmtId="0" fontId="22" fillId="8" borderId="39" xfId="0" applyFont="1" applyFill="1" applyBorder="1" applyAlignment="1">
      <alignment horizontal="center" vertical="center"/>
    </xf>
    <xf numFmtId="0" fontId="22" fillId="0" borderId="31" xfId="0" applyFont="1" applyBorder="1"/>
    <xf numFmtId="2" fontId="4" fillId="9" borderId="0" xfId="0" applyNumberFormat="1" applyFont="1" applyFill="1" applyAlignment="1">
      <alignment horizontal="left"/>
    </xf>
    <xf numFmtId="2" fontId="3" fillId="9" borderId="8" xfId="0" applyNumberFormat="1" applyFont="1" applyFill="1" applyBorder="1" applyAlignment="1">
      <alignment horizontal="center" vertical="center"/>
    </xf>
    <xf numFmtId="165" fontId="4" fillId="9" borderId="8" xfId="0" applyNumberFormat="1" applyFont="1" applyFill="1" applyBorder="1" applyAlignment="1">
      <alignment horizontal="center" vertical="center"/>
    </xf>
    <xf numFmtId="165" fontId="5" fillId="9" borderId="33" xfId="0" applyNumberFormat="1" applyFont="1" applyFill="1" applyBorder="1" applyAlignment="1">
      <alignment horizontal="center" vertical="center"/>
    </xf>
    <xf numFmtId="1" fontId="5" fillId="9" borderId="10" xfId="0" applyNumberFormat="1" applyFont="1" applyFill="1" applyBorder="1" applyAlignment="1">
      <alignment horizontal="center" vertical="center"/>
    </xf>
    <xf numFmtId="2" fontId="3" fillId="9" borderId="10" xfId="0" applyNumberFormat="1" applyFont="1" applyFill="1" applyBorder="1" applyAlignment="1">
      <alignment horizontal="center" vertical="center"/>
    </xf>
    <xf numFmtId="0" fontId="23" fillId="9" borderId="0" xfId="0" applyFont="1" applyFill="1" applyAlignment="1">
      <alignment vertical="center"/>
    </xf>
    <xf numFmtId="0" fontId="14" fillId="9" borderId="0" xfId="0" applyFont="1" applyFill="1" applyAlignment="1">
      <alignment vertical="center"/>
    </xf>
    <xf numFmtId="2" fontId="4" fillId="0" borderId="32" xfId="0" applyNumberFormat="1" applyFont="1" applyBorder="1" applyAlignment="1">
      <alignment horizontal="center" vertical="center"/>
    </xf>
    <xf numFmtId="2" fontId="3" fillId="9" borderId="7" xfId="0" applyNumberFormat="1" applyFont="1" applyFill="1" applyBorder="1"/>
    <xf numFmtId="2" fontId="4" fillId="9" borderId="8" xfId="0" applyNumberFormat="1" applyFont="1" applyFill="1" applyBorder="1" applyAlignment="1">
      <alignment horizontal="center" vertical="center"/>
    </xf>
    <xf numFmtId="2" fontId="6" fillId="9" borderId="12" xfId="0" applyNumberFormat="1" applyFont="1" applyFill="1" applyBorder="1"/>
    <xf numFmtId="2" fontId="4" fillId="9" borderId="10" xfId="0" applyNumberFormat="1" applyFont="1" applyFill="1" applyBorder="1" applyAlignment="1">
      <alignment horizontal="center" vertical="center"/>
    </xf>
    <xf numFmtId="165" fontId="5" fillId="9" borderId="26" xfId="0" applyNumberFormat="1" applyFont="1" applyFill="1" applyBorder="1" applyAlignment="1">
      <alignment horizontal="center" vertical="center"/>
    </xf>
    <xf numFmtId="2" fontId="5" fillId="9" borderId="26" xfId="0" applyNumberFormat="1" applyFont="1" applyFill="1" applyBorder="1" applyAlignment="1">
      <alignment horizontal="center" vertical="center"/>
    </xf>
    <xf numFmtId="2" fontId="6" fillId="9" borderId="12" xfId="0" applyNumberFormat="1" applyFont="1" applyFill="1" applyBorder="1" applyAlignment="1">
      <alignment horizontal="left" vertical="top"/>
    </xf>
    <xf numFmtId="0" fontId="6" fillId="9" borderId="12" xfId="2" applyFont="1" applyFill="1" applyBorder="1" applyAlignment="1">
      <alignment vertical="center"/>
    </xf>
    <xf numFmtId="2" fontId="6" fillId="9" borderId="10" xfId="2" applyNumberFormat="1" applyFont="1" applyFill="1" applyBorder="1" applyAlignment="1">
      <alignment horizontal="center" vertical="center"/>
    </xf>
    <xf numFmtId="1" fontId="5" fillId="9" borderId="10" xfId="2" applyNumberFormat="1" applyFont="1" applyFill="1" applyBorder="1" applyAlignment="1">
      <alignment horizontal="center" vertical="center"/>
    </xf>
    <xf numFmtId="2" fontId="5" fillId="9" borderId="10" xfId="2" applyNumberFormat="1" applyFont="1" applyFill="1" applyBorder="1" applyAlignment="1">
      <alignment horizontal="center" vertical="center"/>
    </xf>
    <xf numFmtId="2" fontId="5" fillId="9" borderId="26" xfId="2" applyNumberFormat="1" applyFont="1" applyFill="1" applyBorder="1" applyAlignment="1">
      <alignment horizontal="center" vertical="center"/>
    </xf>
    <xf numFmtId="0" fontId="6" fillId="9" borderId="12" xfId="0" applyFont="1" applyFill="1" applyBorder="1"/>
    <xf numFmtId="2" fontId="6" fillId="9" borderId="10" xfId="0" applyNumberFormat="1" applyFont="1" applyFill="1" applyBorder="1" applyAlignment="1">
      <alignment horizontal="center" vertical="center"/>
    </xf>
    <xf numFmtId="2" fontId="5" fillId="9" borderId="10" xfId="0" applyNumberFormat="1" applyFont="1" applyFill="1" applyBorder="1" applyAlignment="1">
      <alignment horizontal="center" vertical="center"/>
    </xf>
    <xf numFmtId="0" fontId="5" fillId="9" borderId="12" xfId="0" applyFont="1" applyFill="1" applyBorder="1"/>
    <xf numFmtId="0" fontId="5" fillId="9" borderId="4" xfId="0" applyFont="1" applyFill="1" applyBorder="1"/>
    <xf numFmtId="2" fontId="6" fillId="9" borderId="5" xfId="0" applyNumberFormat="1" applyFont="1" applyFill="1" applyBorder="1" applyAlignment="1">
      <alignment horizontal="center" vertical="center"/>
    </xf>
    <xf numFmtId="2" fontId="5" fillId="9" borderId="5" xfId="0" applyNumberFormat="1" applyFont="1" applyFill="1" applyBorder="1" applyAlignment="1">
      <alignment horizontal="center" vertical="center"/>
    </xf>
    <xf numFmtId="2" fontId="5" fillId="9" borderId="27" xfId="0" applyNumberFormat="1" applyFont="1" applyFill="1" applyBorder="1" applyAlignment="1">
      <alignment horizontal="center" vertical="center"/>
    </xf>
    <xf numFmtId="0" fontId="5" fillId="9" borderId="0" xfId="0" applyFont="1" applyFill="1"/>
    <xf numFmtId="2" fontId="5" fillId="9" borderId="0" xfId="0" applyNumberFormat="1" applyFont="1" applyFill="1" applyAlignment="1">
      <alignment horizontal="center" vertical="center"/>
    </xf>
    <xf numFmtId="2" fontId="3" fillId="9" borderId="13" xfId="0" applyNumberFormat="1" applyFont="1" applyFill="1" applyBorder="1" applyAlignment="1">
      <alignment horizontal="center" vertical="center"/>
    </xf>
    <xf numFmtId="2" fontId="19" fillId="9" borderId="14" xfId="0" applyNumberFormat="1" applyFont="1" applyFill="1" applyBorder="1" applyAlignment="1">
      <alignment horizontal="center" vertical="center"/>
    </xf>
    <xf numFmtId="165" fontId="19" fillId="9" borderId="15" xfId="0" applyNumberFormat="1" applyFont="1" applyFill="1" applyBorder="1" applyAlignment="1">
      <alignment horizontal="center" vertical="center"/>
    </xf>
    <xf numFmtId="0" fontId="4" fillId="9" borderId="0" xfId="0" applyFont="1" applyFill="1"/>
    <xf numFmtId="2" fontId="4" fillId="9" borderId="0" xfId="0" applyNumberFormat="1" applyFont="1" applyFill="1" applyAlignment="1">
      <alignment horizontal="center" vertical="center"/>
    </xf>
    <xf numFmtId="0" fontId="4" fillId="9" borderId="0" xfId="0" applyFont="1" applyFill="1" applyAlignment="1">
      <alignment horizontal="right"/>
    </xf>
    <xf numFmtId="0" fontId="3" fillId="0" borderId="0" xfId="0" applyFont="1" applyAlignment="1">
      <alignment horizontal="left" vertical="center"/>
    </xf>
    <xf numFmtId="0" fontId="3" fillId="0" borderId="32" xfId="0" applyFont="1" applyBorder="1" applyAlignment="1">
      <alignment horizontal="center" vertical="center"/>
    </xf>
    <xf numFmtId="0" fontId="3" fillId="0" borderId="32" xfId="0" applyFont="1" applyBorder="1" applyAlignment="1">
      <alignment horizontal="left" vertical="center"/>
    </xf>
    <xf numFmtId="165" fontId="6" fillId="0" borderId="32" xfId="0" applyNumberFormat="1" applyFont="1" applyBorder="1" applyAlignment="1">
      <alignment horizontal="left" vertical="center"/>
    </xf>
    <xf numFmtId="165" fontId="4" fillId="0" borderId="16" xfId="0" applyNumberFormat="1" applyFont="1" applyBorder="1" applyAlignment="1">
      <alignment horizontal="center" vertical="center"/>
    </xf>
    <xf numFmtId="165" fontId="5" fillId="0" borderId="8" xfId="0" applyNumberFormat="1" applyFont="1" applyBorder="1" applyAlignment="1">
      <alignment horizontal="center" vertical="center"/>
    </xf>
    <xf numFmtId="1" fontId="6" fillId="0" borderId="34" xfId="0" applyNumberFormat="1" applyFont="1" applyBorder="1" applyAlignment="1">
      <alignment horizontal="center" vertical="center"/>
    </xf>
    <xf numFmtId="2" fontId="6" fillId="0" borderId="14" xfId="0" applyNumberFormat="1" applyFont="1" applyBorder="1" applyAlignment="1">
      <alignment horizontal="center" vertical="center"/>
    </xf>
    <xf numFmtId="2" fontId="6" fillId="0" borderId="0" xfId="0" applyNumberFormat="1" applyFont="1" applyAlignment="1">
      <alignment horizontal="left"/>
    </xf>
    <xf numFmtId="165" fontId="6" fillId="0" borderId="15" xfId="0" applyNumberFormat="1" applyFont="1" applyBorder="1" applyAlignment="1">
      <alignment horizontal="center" vertical="center"/>
    </xf>
    <xf numFmtId="165" fontId="6" fillId="0" borderId="31" xfId="0" applyNumberFormat="1" applyFont="1" applyBorder="1" applyAlignment="1">
      <alignment horizontal="center" vertical="center"/>
    </xf>
    <xf numFmtId="0" fontId="22" fillId="0" borderId="0" xfId="0" applyFont="1" applyAlignment="1">
      <alignment horizontal="left"/>
    </xf>
    <xf numFmtId="0" fontId="4" fillId="0" borderId="28" xfId="0" applyFont="1" applyBorder="1"/>
    <xf numFmtId="49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22" fillId="0" borderId="31" xfId="0" applyFont="1" applyBorder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0" fillId="0" borderId="31" xfId="0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22" fillId="0" borderId="43" xfId="0" applyFont="1" applyBorder="1" applyAlignment="1">
      <alignment horizontal="center" vertical="center"/>
    </xf>
    <xf numFmtId="2" fontId="6" fillId="0" borderId="29" xfId="0" applyNumberFormat="1" applyFont="1" applyBorder="1" applyAlignment="1">
      <alignment horizontal="center" vertical="center"/>
    </xf>
    <xf numFmtId="2" fontId="6" fillId="0" borderId="30" xfId="0" applyNumberFormat="1" applyFont="1" applyBorder="1" applyAlignment="1">
      <alignment horizontal="center" vertical="center"/>
    </xf>
    <xf numFmtId="4" fontId="17" fillId="0" borderId="0" xfId="0" applyNumberFormat="1" applyFont="1" applyAlignment="1">
      <alignment horizontal="left" vertical="center"/>
    </xf>
    <xf numFmtId="164" fontId="9" fillId="0" borderId="17" xfId="0" applyNumberFormat="1" applyFont="1" applyBorder="1" applyAlignment="1">
      <alignment horizontal="center"/>
    </xf>
    <xf numFmtId="164" fontId="9" fillId="0" borderId="24" xfId="0" applyNumberFormat="1" applyFont="1" applyBorder="1" applyAlignment="1">
      <alignment horizontal="center"/>
    </xf>
    <xf numFmtId="164" fontId="9" fillId="0" borderId="21" xfId="0" applyNumberFormat="1" applyFont="1" applyBorder="1" applyAlignment="1">
      <alignment horizontal="center"/>
    </xf>
    <xf numFmtId="164" fontId="9" fillId="0" borderId="25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2" fontId="3" fillId="0" borderId="4" xfId="0" applyNumberFormat="1" applyFont="1" applyBorder="1" applyAlignment="1">
      <alignment horizontal="center"/>
    </xf>
    <xf numFmtId="2" fontId="3" fillId="0" borderId="13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Fill="1" applyBorder="1"/>
    <xf numFmtId="165" fontId="5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</cellXfs>
  <cellStyles count="3">
    <cellStyle name="Bad" xfId="1" builtinId="27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3</xdr:row>
      <xdr:rowOff>66675</xdr:rowOff>
    </xdr:from>
    <xdr:to>
      <xdr:col>5</xdr:col>
      <xdr:colOff>76200</xdr:colOff>
      <xdr:row>3</xdr:row>
      <xdr:rowOff>66675</xdr:rowOff>
    </xdr:to>
    <xdr:sp macro="" textlink="">
      <xdr:nvSpPr>
        <xdr:cNvPr id="2" name="Line 7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4381500" y="781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76200</xdr:colOff>
      <xdr:row>3</xdr:row>
      <xdr:rowOff>66675</xdr:rowOff>
    </xdr:from>
    <xdr:to>
      <xdr:col>5</xdr:col>
      <xdr:colOff>76200</xdr:colOff>
      <xdr:row>3</xdr:row>
      <xdr:rowOff>66675</xdr:rowOff>
    </xdr:to>
    <xdr:sp macro="" textlink="">
      <xdr:nvSpPr>
        <xdr:cNvPr id="3" name="Line 7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4381500" y="781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75892</xdr:colOff>
      <xdr:row>0</xdr:row>
      <xdr:rowOff>190581</xdr:rowOff>
    </xdr:from>
    <xdr:to>
      <xdr:col>4</xdr:col>
      <xdr:colOff>525031</xdr:colOff>
      <xdr:row>8</xdr:row>
      <xdr:rowOff>174110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828492" y="190581"/>
          <a:ext cx="2573214" cy="1736129"/>
          <a:chOff x="1784677" y="190581"/>
          <a:chExt cx="2575119" cy="1736129"/>
        </a:xfrm>
      </xdr:grpSpPr>
      <xdr:grpSp>
        <xdr:nvGrpSpPr>
          <xdr:cNvPr id="52" name="Group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GrpSpPr/>
        </xdr:nvGrpSpPr>
        <xdr:grpSpPr>
          <a:xfrm>
            <a:off x="1784677" y="190581"/>
            <a:ext cx="2575119" cy="1736129"/>
            <a:chOff x="1781988" y="190581"/>
            <a:chExt cx="2572653" cy="1741327"/>
          </a:xfrm>
        </xdr:grpSpPr>
        <xdr:sp macro="" textlink="">
          <xdr:nvSpPr>
            <xdr:cNvPr id="29" name="Rectangle 324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>
              <a:spLocks noChangeArrowheads="1"/>
            </xdr:cNvSpPr>
          </xdr:nvSpPr>
          <xdr:spPr bwMode="auto">
            <a:xfrm rot="20701748" flipV="1">
              <a:off x="2278659" y="456933"/>
              <a:ext cx="777240" cy="27432"/>
            </a:xfrm>
            <a:prstGeom prst="rect">
              <a:avLst/>
            </a:prstGeom>
            <a:solidFill>
              <a:srgbClr val="D9D9D9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6" name="Group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GrpSpPr/>
          </xdr:nvGrpSpPr>
          <xdr:grpSpPr>
            <a:xfrm>
              <a:off x="1781988" y="190581"/>
              <a:ext cx="2572653" cy="1741327"/>
              <a:chOff x="1781988" y="190581"/>
              <a:chExt cx="2572653" cy="1741327"/>
            </a:xfrm>
          </xdr:grpSpPr>
          <xdr:sp macro="" textlink="">
            <xdr:nvSpPr>
              <xdr:cNvPr id="35" name="Parallelogram 34">
                <a:extLst>
                  <a:ext uri="{FF2B5EF4-FFF2-40B4-BE49-F238E27FC236}">
                    <a16:creationId xmlns:a16="http://schemas.microsoft.com/office/drawing/2014/main" id="{00000000-0008-0000-0000-000023000000}"/>
                  </a:ext>
                </a:extLst>
              </xdr:cNvPr>
              <xdr:cNvSpPr/>
            </xdr:nvSpPr>
            <xdr:spPr bwMode="auto">
              <a:xfrm>
                <a:off x="3765176" y="812426"/>
                <a:ext cx="27402" cy="457200"/>
              </a:xfrm>
              <a:prstGeom prst="parallelogram">
                <a:avLst/>
              </a:prstGeom>
              <a:ln w="635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endParaRPr lang="en-US"/>
              </a:p>
            </xdr:txBody>
          </xdr:sp>
          <xdr:sp macro="" textlink="">
            <xdr:nvSpPr>
              <xdr:cNvPr id="36" name="Parallelogram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 bwMode="auto">
              <a:xfrm>
                <a:off x="3899647" y="907676"/>
                <a:ext cx="27402" cy="320040"/>
              </a:xfrm>
              <a:prstGeom prst="parallelogram">
                <a:avLst/>
              </a:prstGeom>
              <a:ln w="635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endParaRPr lang="en-US"/>
              </a:p>
            </xdr:txBody>
          </xdr: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000-00000D000000}"/>
                  </a:ext>
                </a:extLst>
              </xdr:cNvPr>
              <xdr:cNvGrpSpPr/>
            </xdr:nvGrpSpPr>
            <xdr:grpSpPr>
              <a:xfrm>
                <a:off x="1781988" y="190581"/>
                <a:ext cx="2447213" cy="1741327"/>
                <a:chOff x="1771988" y="123885"/>
                <a:chExt cx="2448258" cy="1738861"/>
              </a:xfrm>
            </xdr:grpSpPr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00000000-0008-0000-0000-00002A000000}"/>
                    </a:ext>
                  </a:extLst>
                </xdr:cNvPr>
                <xdr:cNvSpPr/>
              </xdr:nvSpPr>
              <xdr:spPr>
                <a:xfrm>
                  <a:off x="3360148" y="1114024"/>
                  <a:ext cx="122144" cy="181406"/>
                </a:xfrm>
                <a:prstGeom prst="rect">
                  <a:avLst/>
                </a:prstGeom>
                <a:solidFill>
                  <a:srgbClr val="D9D9D9"/>
                </a:soli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grpSp>
              <xdr:nvGrpSpPr>
                <xdr:cNvPr id="23" name="Group 22">
                  <a:extLst>
                    <a:ext uri="{FF2B5EF4-FFF2-40B4-BE49-F238E27FC236}">
                      <a16:creationId xmlns:a16="http://schemas.microsoft.com/office/drawing/2014/main" id="{00000000-0008-0000-0000-000017000000}"/>
                    </a:ext>
                  </a:extLst>
                </xdr:cNvPr>
                <xdr:cNvGrpSpPr/>
              </xdr:nvGrpSpPr>
              <xdr:grpSpPr>
                <a:xfrm>
                  <a:off x="1771988" y="123885"/>
                  <a:ext cx="2448258" cy="1738861"/>
                  <a:chOff x="2037547" y="123732"/>
                  <a:chExt cx="2446413" cy="1729304"/>
                </a:xfrm>
              </xdr:grpSpPr>
              <xdr:grpSp>
                <xdr:nvGrpSpPr>
                  <xdr:cNvPr id="12" name="Group 11">
                    <a:extLst>
                      <a:ext uri="{FF2B5EF4-FFF2-40B4-BE49-F238E27FC236}">
                        <a16:creationId xmlns:a16="http://schemas.microsoft.com/office/drawing/2014/main" id="{00000000-0008-0000-0000-00000C000000}"/>
                      </a:ext>
                    </a:extLst>
                  </xdr:cNvPr>
                  <xdr:cNvGrpSpPr/>
                </xdr:nvGrpSpPr>
                <xdr:grpSpPr>
                  <a:xfrm>
                    <a:off x="2037547" y="123732"/>
                    <a:ext cx="2446413" cy="1729304"/>
                    <a:chOff x="2211643" y="247535"/>
                    <a:chExt cx="2449925" cy="1727905"/>
                  </a:xfrm>
                </xdr:grpSpPr>
                <xdr:grpSp>
                  <xdr:nvGrpSpPr>
                    <xdr:cNvPr id="11" name="Group 10">
                      <a:extLst>
                        <a:ext uri="{FF2B5EF4-FFF2-40B4-BE49-F238E27FC236}">
                          <a16:creationId xmlns:a16="http://schemas.microsoft.com/office/drawing/2014/main" id="{00000000-0008-0000-0000-00000B000000}"/>
                        </a:ext>
                      </a:extLst>
                    </xdr:cNvPr>
                    <xdr:cNvGrpSpPr/>
                  </xdr:nvGrpSpPr>
                  <xdr:grpSpPr>
                    <a:xfrm>
                      <a:off x="2211643" y="247535"/>
                      <a:ext cx="2449925" cy="1727905"/>
                      <a:chOff x="2209492" y="247650"/>
                      <a:chExt cx="2447774" cy="1735086"/>
                    </a:xfrm>
                  </xdr:grpSpPr>
                  <xdr:grpSp>
                    <xdr:nvGrpSpPr>
                      <xdr:cNvPr id="10" name="Group 9">
                        <a:extLst>
                          <a:ext uri="{FF2B5EF4-FFF2-40B4-BE49-F238E27FC236}">
                            <a16:creationId xmlns:a16="http://schemas.microsoft.com/office/drawing/2014/main" id="{00000000-0008-0000-0000-00000A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209492" y="247650"/>
                        <a:ext cx="2447774" cy="1735086"/>
                        <a:chOff x="2209492" y="247650"/>
                        <a:chExt cx="2447774" cy="1735086"/>
                      </a:xfrm>
                    </xdr:grpSpPr>
                    <xdr:grpSp>
                      <xdr:nvGrpSpPr>
                        <xdr:cNvPr id="95" name="Group 94">
                          <a:extLst>
                            <a:ext uri="{FF2B5EF4-FFF2-40B4-BE49-F238E27FC236}">
                              <a16:creationId xmlns:a16="http://schemas.microsoft.com/office/drawing/2014/main" id="{00000000-0008-0000-0000-00005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209492" y="323965"/>
                          <a:ext cx="2447774" cy="1658771"/>
                          <a:chOff x="2211643" y="323319"/>
                          <a:chExt cx="2440794" cy="1652119"/>
                        </a:xfrm>
                      </xdr:grpSpPr>
                      <xdr:sp macro="" textlink="">
                        <xdr:nvSpPr>
                          <xdr:cNvPr id="94" name="Freeform: Shape 93">
                            <a:extLst>
                              <a:ext uri="{FF2B5EF4-FFF2-40B4-BE49-F238E27FC236}">
                                <a16:creationId xmlns:a16="http://schemas.microsoft.com/office/drawing/2014/main" id="{00000000-0008-0000-0000-00005E000000}"/>
                              </a:ext>
                            </a:extLst>
                          </xdr:cNvPr>
                          <xdr:cNvSpPr/>
                        </xdr:nvSpPr>
                        <xdr:spPr bwMode="auto">
                          <a:xfrm>
                            <a:off x="2279856" y="1121491"/>
                            <a:ext cx="1822387" cy="853947"/>
                          </a:xfrm>
                          <a:custGeom>
                            <a:avLst/>
                            <a:gdLst>
                              <a:gd name="connsiteX0" fmla="*/ 24175 w 1822805"/>
                              <a:gd name="connsiteY0" fmla="*/ 807449 h 860635"/>
                              <a:gd name="connsiteX1" fmla="*/ 0 w 1822805"/>
                              <a:gd name="connsiteY1" fmla="*/ 604378 h 860635"/>
                              <a:gd name="connsiteX2" fmla="*/ 256257 w 1822805"/>
                              <a:gd name="connsiteY2" fmla="*/ 614048 h 860635"/>
                              <a:gd name="connsiteX3" fmla="*/ 251422 w 1822805"/>
                              <a:gd name="connsiteY3" fmla="*/ 396472 h 860635"/>
                              <a:gd name="connsiteX4" fmla="*/ 850965 w 1822805"/>
                              <a:gd name="connsiteY4" fmla="*/ 396472 h 860635"/>
                              <a:gd name="connsiteX5" fmla="*/ 855800 w 1822805"/>
                              <a:gd name="connsiteY5" fmla="*/ 188566 h 860635"/>
                              <a:gd name="connsiteX6" fmla="*/ 1445673 w 1822805"/>
                              <a:gd name="connsiteY6" fmla="*/ 188566 h 860635"/>
                              <a:gd name="connsiteX7" fmla="*/ 1450508 w 1822805"/>
                              <a:gd name="connsiteY7" fmla="*/ 4835 h 860635"/>
                              <a:gd name="connsiteX8" fmla="*/ 1822805 w 1822805"/>
                              <a:gd name="connsiteY8" fmla="*/ 0 h 860635"/>
                              <a:gd name="connsiteX9" fmla="*/ 1822805 w 1822805"/>
                              <a:gd name="connsiteY9" fmla="*/ 140216 h 860635"/>
                              <a:gd name="connsiteX10" fmla="*/ 1793795 w 1822805"/>
                              <a:gd name="connsiteY10" fmla="*/ 222411 h 860635"/>
                              <a:gd name="connsiteX11" fmla="*/ 1784125 w 1822805"/>
                              <a:gd name="connsiteY11" fmla="*/ 270762 h 860635"/>
                              <a:gd name="connsiteX12" fmla="*/ 38680 w 1822805"/>
                              <a:gd name="connsiteY12" fmla="*/ 860635 h 860635"/>
                              <a:gd name="connsiteX13" fmla="*/ 24175 w 1822805"/>
                              <a:gd name="connsiteY13" fmla="*/ 807449 h 860635"/>
                            </a:gdLst>
                            <a:ahLst/>
                            <a:cxnLst>
                              <a:cxn ang="0">
                                <a:pos x="connsiteX0" y="connsiteY0"/>
                              </a:cxn>
                              <a:cxn ang="0">
                                <a:pos x="connsiteX1" y="connsiteY1"/>
                              </a:cxn>
                              <a:cxn ang="0">
                                <a:pos x="connsiteX2" y="connsiteY2"/>
                              </a:cxn>
                              <a:cxn ang="0">
                                <a:pos x="connsiteX3" y="connsiteY3"/>
                              </a:cxn>
                              <a:cxn ang="0">
                                <a:pos x="connsiteX4" y="connsiteY4"/>
                              </a:cxn>
                              <a:cxn ang="0">
                                <a:pos x="connsiteX5" y="connsiteY5"/>
                              </a:cxn>
                              <a:cxn ang="0">
                                <a:pos x="connsiteX6" y="connsiteY6"/>
                              </a:cxn>
                              <a:cxn ang="0">
                                <a:pos x="connsiteX7" y="connsiteY7"/>
                              </a:cxn>
                              <a:cxn ang="0">
                                <a:pos x="connsiteX8" y="connsiteY8"/>
                              </a:cxn>
                              <a:cxn ang="0">
                                <a:pos x="connsiteX9" y="connsiteY9"/>
                              </a:cxn>
                              <a:cxn ang="0">
                                <a:pos x="connsiteX10" y="connsiteY10"/>
                              </a:cxn>
                              <a:cxn ang="0">
                                <a:pos x="connsiteX11" y="connsiteY11"/>
                              </a:cxn>
                              <a:cxn ang="0">
                                <a:pos x="connsiteX12" y="connsiteY12"/>
                              </a:cxn>
                              <a:cxn ang="0">
                                <a:pos x="connsiteX13" y="connsiteY13"/>
                              </a:cxn>
                            </a:cxnLst>
                            <a:rect l="l" t="t" r="r" b="b"/>
                            <a:pathLst>
                              <a:path w="1822805" h="860635">
                                <a:moveTo>
                                  <a:pt x="24175" y="807449"/>
                                </a:moveTo>
                                <a:lnTo>
                                  <a:pt x="0" y="604378"/>
                                </a:lnTo>
                                <a:lnTo>
                                  <a:pt x="256257" y="614048"/>
                                </a:lnTo>
                                <a:lnTo>
                                  <a:pt x="251422" y="396472"/>
                                </a:lnTo>
                                <a:lnTo>
                                  <a:pt x="850965" y="396472"/>
                                </a:lnTo>
                                <a:lnTo>
                                  <a:pt x="855800" y="188566"/>
                                </a:lnTo>
                                <a:lnTo>
                                  <a:pt x="1445673" y="188566"/>
                                </a:lnTo>
                                <a:lnTo>
                                  <a:pt x="1450508" y="4835"/>
                                </a:lnTo>
                                <a:lnTo>
                                  <a:pt x="1822805" y="0"/>
                                </a:lnTo>
                                <a:lnTo>
                                  <a:pt x="1822805" y="140216"/>
                                </a:lnTo>
                                <a:lnTo>
                                  <a:pt x="1793795" y="222411"/>
                                </a:lnTo>
                                <a:lnTo>
                                  <a:pt x="1784125" y="270762"/>
                                </a:lnTo>
                                <a:lnTo>
                                  <a:pt x="38680" y="860635"/>
                                </a:lnTo>
                                <a:lnTo>
                                  <a:pt x="24175" y="807449"/>
                                </a:lnTo>
                                <a:close/>
                              </a:path>
                            </a:pathLst>
                          </a:custGeom>
                          <a:blipFill>
                            <a:blip xmlns:r="http://schemas.openxmlformats.org/officeDocument/2006/relationships" r:embed="rId1"/>
                            <a:tile tx="0" ty="0" sx="100000" sy="100000" flip="none" algn="tl"/>
                          </a:blipFill>
                          <a:ln w="12700"/>
                        </xdr:spPr>
                        <xdr:style>
                          <a:lnRef idx="2">
                            <a:schemeClr val="dk1"/>
                          </a:lnRef>
                          <a:fillRef idx="1">
                            <a:schemeClr val="lt1"/>
                          </a:fillRef>
                          <a:effectRef idx="0">
                            <a:schemeClr val="dk1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endParaRPr lang="en-US"/>
                          </a:p>
                        </xdr:txBody>
                      </xdr:sp>
                      <xdr:sp macro="" textlink="">
                        <xdr:nvSpPr>
                          <xdr:cNvPr id="47" name="Rectangle 46">
                            <a:extLst>
                              <a:ext uri="{FF2B5EF4-FFF2-40B4-BE49-F238E27FC236}">
                                <a16:creationId xmlns:a16="http://schemas.microsoft.com/office/drawing/2014/main" id="{00000000-0008-0000-0000-00002F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44605" y="1623446"/>
                            <a:ext cx="121863" cy="167982"/>
                          </a:xfrm>
                          <a:prstGeom prst="rect">
                            <a:avLst/>
                          </a:prstGeom>
                          <a:solidFill>
                            <a:srgbClr val="D9D9D9"/>
                          </a:solidFill>
                          <a:ln w="9525">
                            <a:solidFill>
                              <a:srgbClr val="000000"/>
                            </a:solidFill>
                            <a:miter lim="800000"/>
                            <a:headEnd/>
                            <a:tailEnd/>
                          </a:ln>
                        </xdr:spPr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US" sz="1100"/>
                          </a:p>
                        </xdr:txBody>
                      </xdr:sp>
                      <xdr:grpSp>
                        <xdr:nvGrpSpPr>
                          <xdr:cNvPr id="4" name="Group 1">
                            <a:extLst>
                              <a:ext uri="{FF2B5EF4-FFF2-40B4-BE49-F238E27FC236}">
                                <a16:creationId xmlns:a16="http://schemas.microsoft.com/office/drawing/2014/main" id="{00000000-0008-0000-0000-000004000000}"/>
                              </a:ext>
                            </a:extLst>
                          </xdr:cNvPr>
                          <xdr:cNvGrpSpPr>
                            <a:grpSpLocks/>
                          </xdr:cNvGrpSpPr>
                        </xdr:nvGrpSpPr>
                        <xdr:grpSpPr bwMode="auto">
                          <a:xfrm>
                            <a:off x="2211643" y="323319"/>
                            <a:ext cx="2440794" cy="1644640"/>
                            <a:chOff x="5214256" y="517955"/>
                            <a:chExt cx="2440084" cy="1654613"/>
                          </a:xfrm>
                        </xdr:grpSpPr>
                        <xdr:grpSp>
                          <xdr:nvGrpSpPr>
                            <xdr:cNvPr id="5" name="Group 2">
                              <a:extLst>
                                <a:ext uri="{FF2B5EF4-FFF2-40B4-BE49-F238E27FC236}">
                                  <a16:creationId xmlns:a16="http://schemas.microsoft.com/office/drawing/2014/main" id="{00000000-0008-0000-0000-000005000000}"/>
                                </a:ext>
                              </a:extLst>
                            </xdr:cNvPr>
                            <xdr:cNvGrpSpPr>
                              <a:grpSpLocks/>
                            </xdr:cNvGrpSpPr>
                          </xdr:nvGrpSpPr>
                          <xdr:grpSpPr bwMode="auto">
                            <a:xfrm>
                              <a:off x="5214256" y="517955"/>
                              <a:ext cx="2440084" cy="1642377"/>
                              <a:chOff x="2379408" y="375311"/>
                              <a:chExt cx="2440084" cy="1648470"/>
                            </a:xfrm>
                          </xdr:grpSpPr>
                          <xdr:grpSp>
                            <xdr:nvGrpSpPr>
                              <xdr:cNvPr id="7" name="Group 1">
                                <a:extLst>
                                  <a:ext uri="{FF2B5EF4-FFF2-40B4-BE49-F238E27FC236}">
                                    <a16:creationId xmlns:a16="http://schemas.microsoft.com/office/drawing/2014/main" id="{00000000-0008-0000-0000-000007000000}"/>
                                  </a:ext>
                                </a:extLst>
                              </xdr:cNvPr>
                              <xdr:cNvGrpSpPr>
                                <a:grpSpLocks/>
                              </xdr:cNvGrpSpPr>
                            </xdr:nvGrpSpPr>
                            <xdr:grpSpPr bwMode="auto">
                              <a:xfrm>
                                <a:off x="2379408" y="375311"/>
                                <a:ext cx="2440084" cy="1648470"/>
                                <a:chOff x="2379408" y="375311"/>
                                <a:chExt cx="2440084" cy="1648470"/>
                              </a:xfrm>
                            </xdr:grpSpPr>
                            <xdr:sp macro="" textlink="">
                              <xdr:nvSpPr>
                                <xdr:cNvPr id="14" name="AutoShape 15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000-00000E000000}"/>
                                    </a:ext>
                                  </a:extLst>
                                </xdr:cNvPr>
                                <xdr:cNvSpPr>
                                  <a:spLocks noChangeArrowheads="1"/>
                                </xdr:cNvSpPr>
                              </xdr:nvSpPr>
                              <xdr:spPr bwMode="auto">
                                <a:xfrm>
                                  <a:off x="2896721" y="667526"/>
                                  <a:ext cx="45543" cy="1202736"/>
                                </a:xfrm>
                                <a:prstGeom prst="cube">
                                  <a:avLst>
                                    <a:gd name="adj" fmla="val 28569"/>
                                  </a:avLst>
                                </a:prstGeom>
                                <a:solidFill>
                                  <a:srgbClr val="D9D9D9"/>
                                </a:solidFill>
                                <a:ln w="9525">
                                  <a:solidFill>
                                    <a:srgbClr val="000000"/>
                                  </a:solidFill>
                                  <a:miter lim="800000"/>
                                  <a:headEnd/>
                                  <a:tailEnd/>
                                </a:ln>
                              </xdr:spPr>
                            </xdr:sp>
                            <xdr:sp macro="" textlink="">
                              <xdr:nvSpPr>
                                <xdr:cNvPr id="16" name="Line 42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000-000010000000}"/>
                                    </a:ext>
                                  </a:extLst>
                                </xdr:cNvPr>
                                <xdr:cNvSpPr>
                                  <a:spLocks noChangeShapeType="1"/>
                                </xdr:cNvSpPr>
                              </xdr:nvSpPr>
                              <xdr:spPr bwMode="auto">
                                <a:xfrm>
                                  <a:off x="2640668" y="745912"/>
                                  <a:ext cx="16328" cy="874088"/>
                                </a:xfrm>
                                <a:prstGeom prst="line">
                                  <a:avLst/>
                                </a:prstGeom>
                                <a:noFill/>
                                <a:ln w="9525">
                                  <a:solidFill>
                                    <a:srgbClr val="000000"/>
                                  </a:solidFill>
                                  <a:round/>
                                  <a:headEnd type="triangle" w="med" len="med"/>
                                  <a:tailEnd type="triangle" w="med" len="med"/>
                                </a:ln>
                                <a:extLst>
                                  <a:ext uri="{909E8E84-426E-40DD-AFC4-6F175D3DCCD1}">
                                    <a14:hiddenFill xmlns:a14="http://schemas.microsoft.com/office/drawing/2010/main">
                                      <a:noFill/>
                                    </a14:hiddenFill>
                                  </a:ext>
                                </a:extLst>
                              </xdr:spPr>
                            </xdr:sp>
                            <xdr:sp macro="" textlink="">
                              <xdr:nvSpPr>
                                <xdr:cNvPr id="17" name="Line 42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000-000011000000}"/>
                                    </a:ext>
                                  </a:extLst>
                                </xdr:cNvPr>
                                <xdr:cNvSpPr>
                                  <a:spLocks noChangeShapeType="1"/>
                                </xdr:cNvSpPr>
                              </xdr:nvSpPr>
                              <xdr:spPr bwMode="auto">
                                <a:xfrm flipH="1">
                                  <a:off x="2379408" y="697429"/>
                                  <a:ext cx="452158" cy="121024"/>
                                </a:xfrm>
                                <a:prstGeom prst="line">
                                  <a:avLst/>
                                </a:prstGeom>
                                <a:noFill/>
                                <a:ln w="9525">
                                  <a:solidFill>
                                    <a:srgbClr val="000000"/>
                                  </a:solidFill>
                                  <a:round/>
                                  <a:headEnd/>
                                  <a:tailEnd/>
                                </a:ln>
                                <a:extLst>
                                  <a:ext uri="{909E8E84-426E-40DD-AFC4-6F175D3DCCD1}">
                                    <a14:hiddenFill xmlns:a14="http://schemas.microsoft.com/office/drawing/2010/main">
                                      <a:noFill/>
                                    </a14:hiddenFill>
                                  </a:ext>
                                </a:extLst>
                              </xdr:spPr>
                            </xdr:sp>
                            <xdr:sp macro="" textlink="">
                              <xdr:nvSpPr>
                                <xdr:cNvPr id="18" name="AutoShape 3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000-000012000000}"/>
                                    </a:ext>
                                  </a:extLst>
                                </xdr:cNvPr>
                                <xdr:cNvSpPr>
                                  <a:spLocks noChangeArrowheads="1"/>
                                </xdr:cNvSpPr>
                              </xdr:nvSpPr>
                              <xdr:spPr bwMode="auto">
                                <a:xfrm>
                                  <a:off x="3877120" y="1787596"/>
                                  <a:ext cx="576294" cy="201206"/>
                                </a:xfrm>
                                <a:prstGeom prst="wedgeRectCallout">
                                  <a:avLst>
                                    <a:gd name="adj1" fmla="val -70365"/>
                                    <a:gd name="adj2" fmla="val -179693"/>
                                  </a:avLst>
                                </a:prstGeom>
                                <a:solidFill>
                                  <a:srgbClr val="FFFFFF"/>
                                </a:solidFill>
                                <a:ln w="9525">
                                  <a:solidFill>
                                    <a:srgbClr val="000000"/>
                                  </a:solidFill>
                                  <a:miter lim="800000"/>
                                  <a:headEnd/>
                                  <a:tailEnd/>
                                </a:ln>
                              </xdr:spPr>
                              <xdr:txBody>
                                <a:bodyPr vertOverflow="clip" wrap="square" lIns="36576" tIns="27432" rIns="0" bIns="0" anchor="t" upright="1"/>
                                <a:lstStyle/>
                                <a:p>
                                  <a:pPr algn="l" rtl="0">
                                    <a:defRPr sz="1000"/>
                                  </a:pPr>
                                  <a:r>
                                    <a:rPr lang="en-US" sz="1000" b="1" i="0" u="none" strike="noStrike" baseline="0">
                                      <a:solidFill>
                                        <a:srgbClr val="000000"/>
                                      </a:solidFill>
                                      <a:latin typeface="Arial"/>
                                      <a:cs typeface="Arial"/>
                                    </a:rPr>
                                    <a:t>concrete</a:t>
                                  </a:r>
                                  <a:endParaRPr lang="en-US" sz="1000" b="0" i="0" u="none" strike="noStrike" baseline="0">
                                    <a:solidFill>
                                      <a:srgbClr val="000000"/>
                                    </a:solidFill>
                                    <a:latin typeface="Arial"/>
                                    <a:cs typeface="Arial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20" name="Line 43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000-000014000000}"/>
                                    </a:ext>
                                  </a:extLst>
                                </xdr:cNvPr>
                                <xdr:cNvSpPr>
                                  <a:spLocks noChangeShapeType="1"/>
                                </xdr:cNvSpPr>
                              </xdr:nvSpPr>
                              <xdr:spPr bwMode="auto">
                                <a:xfrm flipV="1">
                                  <a:off x="2419910" y="1096496"/>
                                  <a:ext cx="1810871" cy="611841"/>
                                </a:xfrm>
                                <a:prstGeom prst="line">
                                  <a:avLst/>
                                </a:prstGeom>
                                <a:noFill/>
                                <a:ln w="9525">
                                  <a:solidFill>
                                    <a:srgbClr val="000000"/>
                                  </a:solidFill>
                                  <a:round/>
                                  <a:headEnd/>
                                  <a:tailEnd/>
                                </a:ln>
                                <a:extLst>
                                  <a:ext uri="{909E8E84-426E-40DD-AFC4-6F175D3DCCD1}">
                                    <a14:hiddenFill xmlns:a14="http://schemas.microsoft.com/office/drawing/2010/main">
                                      <a:noFill/>
                                    </a14:hiddenFill>
                                  </a:ext>
                                </a:extLst>
                              </xdr:spPr>
                            </xdr:sp>
                            <xdr:sp macro="" textlink="">
                              <xdr:nvSpPr>
                                <xdr:cNvPr id="21" name="Line 43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000-000015000000}"/>
                                    </a:ext>
                                  </a:extLst>
                                </xdr:cNvPr>
                                <xdr:cNvSpPr>
                                  <a:spLocks noChangeShapeType="1"/>
                                </xdr:cNvSpPr>
                              </xdr:nvSpPr>
                              <xdr:spPr bwMode="auto">
                                <a:xfrm flipV="1">
                                  <a:off x="2438960" y="1445558"/>
                                  <a:ext cx="1861297" cy="578223"/>
                                </a:xfrm>
                                <a:prstGeom prst="line">
                                  <a:avLst/>
                                </a:prstGeom>
                                <a:noFill/>
                                <a:ln w="9525">
                                  <a:solidFill>
                                    <a:srgbClr val="000000"/>
                                  </a:solidFill>
                                  <a:round/>
                                  <a:headEnd/>
                                  <a:tailEnd/>
                                </a:ln>
                                <a:extLst>
                                  <a:ext uri="{909E8E84-426E-40DD-AFC4-6F175D3DCCD1}">
                                    <a14:hiddenFill xmlns:a14="http://schemas.microsoft.com/office/drawing/2010/main">
                                      <a:noFill/>
                                    </a14:hiddenFill>
                                  </a:ext>
                                </a:extLst>
                              </xdr:spPr>
                            </xdr:sp>
                            <xdr:sp macro="" textlink="">
                              <xdr:nvSpPr>
                                <xdr:cNvPr id="22" name="Line 42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000-000016000000}"/>
                                    </a:ext>
                                  </a:extLst>
                                </xdr:cNvPr>
                                <xdr:cNvSpPr>
                                  <a:spLocks noChangeShapeType="1"/>
                                </xdr:cNvSpPr>
                              </xdr:nvSpPr>
                              <xdr:spPr bwMode="auto">
                                <a:xfrm>
                                  <a:off x="2471938" y="795078"/>
                                  <a:ext cx="55526" cy="1199126"/>
                                </a:xfrm>
                                <a:prstGeom prst="line">
                                  <a:avLst/>
                                </a:prstGeom>
                                <a:noFill/>
                                <a:ln w="9525">
                                  <a:solidFill>
                                    <a:srgbClr val="000000"/>
                                  </a:solidFill>
                                  <a:round/>
                                  <a:headEnd type="triangle" w="med" len="med"/>
                                  <a:tailEnd type="triangle" w="med" len="med"/>
                                </a:ln>
                                <a:extLst>
                                  <a:ext uri="{909E8E84-426E-40DD-AFC4-6F175D3DCCD1}">
                                    <a14:hiddenFill xmlns:a14="http://schemas.microsoft.com/office/drawing/2010/main">
                                      <a:noFill/>
                                    </a14:hiddenFill>
                                  </a:ext>
                                </a:extLst>
                              </xdr:spPr>
                            </xdr:sp>
                            <xdr:sp macro="" textlink="">
                              <xdr:nvSpPr>
                                <xdr:cNvPr id="26" name="Parallelogram 2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000-00001A00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025597" y="653005"/>
                                  <a:ext cx="27451" cy="1209594"/>
                                </a:xfrm>
                                <a:prstGeom prst="parallelogram">
                                  <a:avLst/>
                                </a:prstGeom>
                                <a:ln w="6350"/>
                              </xdr:spPr>
                              <xdr:style>
                                <a:lnRef idx="2">
                                  <a:schemeClr val="dk1"/>
                                </a:lnRef>
                                <a:fillRef idx="1">
                                  <a:schemeClr val="lt1"/>
                                </a:fillRef>
                                <a:effectRef idx="0">
                                  <a:schemeClr val="dk1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endParaRPr lang="en-US"/>
                                </a:p>
                              </xdr:txBody>
                            </xdr:sp>
                            <xdr:sp macro="" textlink="">
                              <xdr:nvSpPr>
                                <xdr:cNvPr id="15" name="AutoShape 33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000-00000F000000}"/>
                                    </a:ext>
                                  </a:extLst>
                                </xdr:cNvPr>
                                <xdr:cNvSpPr>
                                  <a:spLocks noChangeArrowheads="1"/>
                                </xdr:cNvSpPr>
                              </xdr:nvSpPr>
                              <xdr:spPr bwMode="auto">
                                <a:xfrm>
                                  <a:off x="4418874" y="626625"/>
                                  <a:ext cx="400618" cy="229950"/>
                                </a:xfrm>
                                <a:prstGeom prst="wedgeRectCallout">
                                  <a:avLst>
                                    <a:gd name="adj1" fmla="val -93169"/>
                                    <a:gd name="adj2" fmla="val 52875"/>
                                  </a:avLst>
                                </a:prstGeom>
                                <a:solidFill>
                                  <a:srgbClr val="FFFFFF"/>
                                </a:solidFill>
                                <a:ln w="9525">
                                  <a:solidFill>
                                    <a:srgbClr val="000000"/>
                                  </a:solidFill>
                                  <a:miter lim="800000"/>
                                  <a:headEnd/>
                                  <a:tailEnd/>
                                </a:ln>
                              </xdr:spPr>
                              <xdr:txBody>
                                <a:bodyPr vertOverflow="clip" wrap="square" lIns="36576" tIns="27432" rIns="0" bIns="0" anchor="t" upright="1"/>
                                <a:lstStyle/>
                                <a:p>
                                  <a:pPr algn="l" rtl="0">
                                    <a:defRPr sz="1000"/>
                                  </a:pPr>
                                  <a:r>
                                    <a:rPr lang="en-US" sz="1000" b="1" i="0" u="none" strike="noStrike" baseline="0">
                                      <a:solidFill>
                                        <a:srgbClr val="000000"/>
                                      </a:solidFill>
                                      <a:latin typeface="Arial"/>
                                      <a:cs typeface="Arial"/>
                                    </a:rPr>
                                    <a:t>50x8</a:t>
                                  </a:r>
                                  <a:endParaRPr lang="ro-RO" sz="1000" b="1" i="0" u="none" strike="noStrike" baseline="0">
                                    <a:solidFill>
                                      <a:srgbClr val="000000"/>
                                    </a:solidFill>
                                    <a:latin typeface="Arial"/>
                                    <a:cs typeface="Arial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39" name="AutoShape 3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000-000027000000}"/>
                                    </a:ext>
                                  </a:extLst>
                                </xdr:cNvPr>
                                <xdr:cNvSpPr>
                                  <a:spLocks noChangeArrowheads="1"/>
                                </xdr:cNvSpPr>
                              </xdr:nvSpPr>
                              <xdr:spPr bwMode="auto">
                                <a:xfrm>
                                  <a:off x="3911380" y="375311"/>
                                  <a:ext cx="333848" cy="182044"/>
                                </a:xfrm>
                                <a:prstGeom prst="wedgeRectCallout">
                                  <a:avLst>
                                    <a:gd name="adj1" fmla="val -114067"/>
                                    <a:gd name="adj2" fmla="val 104370"/>
                                  </a:avLst>
                                </a:prstGeom>
                                <a:solidFill>
                                  <a:srgbClr val="FFFFFF"/>
                                </a:solidFill>
                                <a:ln w="9525">
                                  <a:solidFill>
                                    <a:srgbClr val="000000"/>
                                  </a:solidFill>
                                  <a:miter lim="800000"/>
                                  <a:headEnd/>
                                  <a:tailEnd/>
                                </a:ln>
                              </xdr:spPr>
                              <xdr:txBody>
                                <a:bodyPr vertOverflow="clip" wrap="square" lIns="36576" tIns="27432" rIns="0" bIns="0" anchor="t" upright="1"/>
                                <a:lstStyle/>
                                <a:p>
                                  <a:pPr algn="l" rtl="0">
                                    <a:defRPr sz="1000"/>
                                  </a:pPr>
                                  <a:r>
                                    <a:rPr lang="en-US" sz="1000" b="1" i="0" u="none" strike="noStrike" baseline="0">
                                      <a:solidFill>
                                        <a:srgbClr val="FF0000"/>
                                      </a:solidFill>
                                      <a:latin typeface="Arial" panose="020B0604020202020204" pitchFamily="34" charset="0"/>
                                      <a:cs typeface="Arial" panose="020B0604020202020204" pitchFamily="34" charset="0"/>
                                    </a:rPr>
                                    <a:t>40x6</a:t>
                                  </a:r>
                                  <a:endParaRPr lang="ro-RO" sz="1000" b="1" i="0" u="none" strike="noStrike" baseline="0">
                                    <a:solidFill>
                                      <a:srgbClr val="FF0000"/>
                                    </a:solidFill>
                                    <a:latin typeface="Arial" panose="020B0604020202020204" pitchFamily="34" charset="0"/>
                                    <a:cs typeface="Arial" panose="020B0604020202020204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8" name="Rectangle 324">
                                <a:extLst>
                                  <a:ext uri="{FF2B5EF4-FFF2-40B4-BE49-F238E27FC236}">
                                    <a16:creationId xmlns:a16="http://schemas.microsoft.com/office/drawing/2014/main" id="{00000000-0008-0000-0000-000008000000}"/>
                                  </a:ext>
                                </a:extLst>
                              </xdr:cNvPr>
                              <xdr:cNvSpPr>
                                <a:spLocks noChangeArrowheads="1"/>
                              </xdr:cNvSpPr>
                            </xdr:nvSpPr>
                            <xdr:spPr bwMode="auto">
                              <a:xfrm flipV="1">
                                <a:off x="2922561" y="1836984"/>
                                <a:ext cx="182177" cy="27509"/>
                              </a:xfrm>
                              <a:prstGeom prst="rect">
                                <a:avLst/>
                              </a:prstGeom>
                              <a:solidFill>
                                <a:srgbClr val="D9D9D9"/>
                              </a:solidFill>
                              <a:ln w="9525">
                                <a:solidFill>
                                  <a:srgbClr val="000000"/>
                                </a:solidFill>
                                <a:miter lim="800000"/>
                                <a:headEnd/>
                                <a:tailEnd/>
                              </a:ln>
                            </xdr:spPr>
                          </xdr:sp>
                        </xdr:grpSp>
                        <xdr:sp macro="" textlink="">
                          <xdr:nvSpPr>
                            <xdr:cNvPr id="6" name="AutoShape 3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06000000}"/>
                                </a:ext>
                              </a:extLst>
                            </xdr:cNvPr>
                            <xdr:cNvSpPr>
                              <a:spLocks noChangeArrowheads="1"/>
                            </xdr:cNvSpPr>
                          </xdr:nvSpPr>
                          <xdr:spPr bwMode="auto">
                            <a:xfrm>
                              <a:off x="6124055" y="1990011"/>
                              <a:ext cx="470977" cy="182557"/>
                            </a:xfrm>
                            <a:prstGeom prst="wedgeRectCallout">
                              <a:avLst>
                                <a:gd name="adj1" fmla="val -118870"/>
                                <a:gd name="adj2" fmla="val -102332"/>
                              </a:avLst>
                            </a:prstGeom>
                            <a:solidFill>
                              <a:srgbClr val="FFFFFF"/>
                            </a:solidFill>
                            <a:ln w="9525">
                              <a:solidFill>
                                <a:srgbClr val="000000"/>
                              </a:solidFill>
                              <a:miter lim="800000"/>
                              <a:headEnd/>
                              <a:tailEnd/>
                            </a:ln>
                          </xdr:spPr>
                          <xdr:txBody>
                            <a:bodyPr vertOverflow="clip" wrap="square" lIns="36576" tIns="27432" rIns="0" bIns="0" anchor="t" upright="1"/>
                            <a:lstStyle/>
                            <a:p>
                              <a:pPr algn="l" rtl="0">
                                <a:defRPr sz="1000"/>
                              </a:pPr>
                              <a:r>
                                <a:rPr lang="en-US" sz="1000" b="1" i="0" u="none" strike="noStrike" baseline="0">
                                  <a:solidFill>
                                    <a:srgbClr val="000000"/>
                                  </a:solidFill>
                                  <a:latin typeface="Arial" panose="020B0604020202020204" pitchFamily="34" charset="0"/>
                                  <a:cs typeface="Arial" panose="020B0604020202020204" pitchFamily="34" charset="0"/>
                                </a:rPr>
                                <a:t>100x10</a:t>
                              </a:r>
                              <a:endParaRPr lang="ro-RO" sz="1000" b="1" i="0" u="none" strike="noStrike" baseline="0">
                                <a:solidFill>
                                  <a:srgbClr val="000000"/>
                                </a:solidFill>
                                <a:latin typeface="Arial" panose="020B0604020202020204" pitchFamily="34" charset="0"/>
                                <a:cs typeface="Arial" panose="020B0604020202020204" pitchFamily="34" charset="0"/>
                              </a:endParaRPr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43" name="AutoShape 331">
                          <a:extLst>
                            <a:ext uri="{FF2B5EF4-FFF2-40B4-BE49-F238E27FC236}">
                              <a16:creationId xmlns:a16="http://schemas.microsoft.com/office/drawing/2014/main" id="{00000000-0008-0000-0000-00002B000000}"/>
                            </a:ext>
                          </a:extLst>
                        </xdr:cNvPr>
                        <xdr:cNvSpPr>
                          <a:spLocks noChangeArrowheads="1"/>
                        </xdr:cNvSpPr>
                      </xdr:nvSpPr>
                      <xdr:spPr bwMode="auto">
                        <a:xfrm>
                          <a:off x="2457450" y="247650"/>
                          <a:ext cx="401881" cy="228636"/>
                        </a:xfrm>
                        <a:prstGeom prst="wedgeRectCallout">
                          <a:avLst>
                            <a:gd name="adj1" fmla="val 117770"/>
                            <a:gd name="adj2" fmla="val 65453"/>
                          </a:avLst>
                        </a:prstGeom>
                        <a:solidFill>
                          <a:srgbClr val="FFFFFF"/>
                        </a:solidFill>
                        <a:ln w="9525">
                          <a:solidFill>
                            <a:srgbClr val="000000"/>
                          </a:solidFill>
                          <a:miter lim="800000"/>
                          <a:headEnd/>
                          <a:tailEnd/>
                        </a:ln>
                      </xdr:spPr>
                      <xdr:txBody>
                        <a:bodyPr vertOverflow="clip" wrap="square" lIns="36576" tIns="27432" rIns="0" bIns="0" anchor="t" upright="1"/>
                        <a:lstStyle/>
                        <a:p>
                          <a:pPr algn="l" rtl="0">
                            <a:defRPr sz="1000"/>
                          </a:pPr>
                          <a:r>
                            <a:rPr lang="en-US" sz="1000" b="1" i="0" u="none" strike="noStrike" baseline="0">
                              <a:solidFill>
                                <a:srgbClr val="000000"/>
                              </a:solidFill>
                              <a:latin typeface="Arial"/>
                              <a:cs typeface="Arial"/>
                            </a:rPr>
                            <a:t>50x8</a:t>
                          </a:r>
                          <a:endParaRPr lang="ro-RO" sz="1000" b="1" i="0" u="none" strike="noStrike" baseline="0">
                            <a:solidFill>
                              <a:srgbClr val="000000"/>
                            </a:solidFill>
                            <a:latin typeface="Arial"/>
                            <a:cs typeface="Arial"/>
                          </a:endParaRPr>
                        </a:p>
                      </xdr:txBody>
                    </xdr:sp>
                  </xdr:grpSp>
                  <xdr:sp macro="" textlink="">
                    <xdr:nvSpPr>
                      <xdr:cNvPr id="44" name="AutoShape 331">
                        <a:extLst>
                          <a:ext uri="{FF2B5EF4-FFF2-40B4-BE49-F238E27FC236}">
                            <a16:creationId xmlns:a16="http://schemas.microsoft.com/office/drawing/2014/main" id="{00000000-0008-0000-0000-00002C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>
                        <a:off x="4076700" y="1466850"/>
                        <a:ext cx="401881" cy="228636"/>
                      </a:xfrm>
                      <a:prstGeom prst="wedgeRectCallout">
                        <a:avLst>
                          <a:gd name="adj1" fmla="val -116870"/>
                          <a:gd name="adj2" fmla="val -47029"/>
                        </a:avLst>
                      </a:prstGeom>
                      <a:solidFill>
                        <a:srgbClr val="FFFFFF"/>
                      </a:solidFill>
                      <a:ln w="9525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  <xdr:txBody>
                      <a:bodyPr vertOverflow="clip" wrap="square" lIns="36576" tIns="27432" rIns="0" bIns="0" anchor="t" upright="1"/>
                      <a:lstStyle/>
                      <a:p>
                        <a:pPr algn="l" rtl="0">
                          <a:defRPr sz="1000"/>
                        </a:pPr>
                        <a:r>
                          <a:rPr lang="en-US" sz="1000" b="1" i="0" u="none" strike="noStrike" baseline="0">
                            <a:solidFill>
                              <a:srgbClr val="000000"/>
                            </a:solidFill>
                            <a:latin typeface="Arial"/>
                            <a:cs typeface="Arial"/>
                          </a:rPr>
                          <a:t>50x8</a:t>
                        </a:r>
                        <a:endParaRPr lang="ro-RO" sz="1000" b="1" i="0" u="none" strike="noStrike" baseline="0">
                          <a:solidFill>
                            <a:srgbClr val="000000"/>
                          </a:solidFill>
                          <a:latin typeface="Arial"/>
                          <a:cs typeface="Arial"/>
                        </a:endParaRPr>
                      </a:p>
                    </xdr:txBody>
                  </xdr:sp>
                </xdr:grpSp>
                <xdr:sp macro="" textlink="">
                  <xdr:nvSpPr>
                    <xdr:cNvPr id="55" name="Parallelogram 54">
                      <a:extLst>
                        <a:ext uri="{FF2B5EF4-FFF2-40B4-BE49-F238E27FC236}">
                          <a16:creationId xmlns:a16="http://schemas.microsoft.com/office/drawing/2014/main" id="{00000000-0008-0000-0000-0000370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2974565" y="566659"/>
                      <a:ext cx="27432" cy="1180358"/>
                    </a:xfrm>
                    <a:prstGeom prst="parallelogram">
                      <a:avLst/>
                    </a:prstGeom>
                    <a:ln w="6350"/>
                  </xdr:spPr>
                  <xdr:style>
                    <a:lnRef idx="2">
                      <a:schemeClr val="dk1"/>
                    </a:lnRef>
                    <a:fillRef idx="1">
                      <a:schemeClr val="lt1"/>
                    </a:fillRef>
                    <a:effectRef idx="0">
                      <a:schemeClr val="dk1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56" name="Parallelogram 55">
                      <a:extLst>
                        <a:ext uri="{FF2B5EF4-FFF2-40B4-BE49-F238E27FC236}">
                          <a16:creationId xmlns:a16="http://schemas.microsoft.com/office/drawing/2014/main" id="{00000000-0008-0000-0000-0000380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3091247" y="533322"/>
                      <a:ext cx="27432" cy="1198518"/>
                    </a:xfrm>
                    <a:prstGeom prst="parallelogram">
                      <a:avLst/>
                    </a:prstGeom>
                    <a:ln w="6350"/>
                  </xdr:spPr>
                  <xdr:style>
                    <a:lnRef idx="2">
                      <a:schemeClr val="dk1"/>
                    </a:lnRef>
                    <a:fillRef idx="1">
                      <a:schemeClr val="lt1"/>
                    </a:fillRef>
                    <a:effectRef idx="0">
                      <a:schemeClr val="dk1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57" name="Parallelogram 56">
                      <a:extLst>
                        <a:ext uri="{FF2B5EF4-FFF2-40B4-BE49-F238E27FC236}">
                          <a16:creationId xmlns:a16="http://schemas.microsoft.com/office/drawing/2014/main" id="{00000000-0008-0000-0000-0000390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3215071" y="478553"/>
                      <a:ext cx="27432" cy="1198518"/>
                    </a:xfrm>
                    <a:prstGeom prst="parallelogram">
                      <a:avLst/>
                    </a:prstGeom>
                    <a:ln w="6350"/>
                  </xdr:spPr>
                  <xdr:style>
                    <a:lnRef idx="2">
                      <a:schemeClr val="dk1"/>
                    </a:lnRef>
                    <a:fillRef idx="1">
                      <a:schemeClr val="lt1"/>
                    </a:fillRef>
                    <a:effectRef idx="0">
                      <a:schemeClr val="dk1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58" name="Parallelogram 57">
                      <a:extLst>
                        <a:ext uri="{FF2B5EF4-FFF2-40B4-BE49-F238E27FC236}">
                          <a16:creationId xmlns:a16="http://schemas.microsoft.com/office/drawing/2014/main" id="{00000000-0008-0000-0000-00003A0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3419859" y="413108"/>
                      <a:ext cx="27432" cy="1198518"/>
                    </a:xfrm>
                    <a:prstGeom prst="parallelogram">
                      <a:avLst/>
                    </a:prstGeom>
                    <a:ln w="6350"/>
                  </xdr:spPr>
                  <xdr:style>
                    <a:lnRef idx="2">
                      <a:schemeClr val="dk1"/>
                    </a:lnRef>
                    <a:fillRef idx="1">
                      <a:schemeClr val="lt1"/>
                    </a:fillRef>
                    <a:effectRef idx="0">
                      <a:schemeClr val="dk1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59" name="Parallelogram 58">
                      <a:extLst>
                        <a:ext uri="{FF2B5EF4-FFF2-40B4-BE49-F238E27FC236}">
                          <a16:creationId xmlns:a16="http://schemas.microsoft.com/office/drawing/2014/main" id="{00000000-0008-0000-0000-00003B0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3527015" y="499154"/>
                      <a:ext cx="27432" cy="1070675"/>
                    </a:xfrm>
                    <a:prstGeom prst="parallelogram">
                      <a:avLst/>
                    </a:prstGeom>
                    <a:ln w="6350"/>
                  </xdr:spPr>
                  <xdr:style>
                    <a:lnRef idx="2">
                      <a:schemeClr val="dk1"/>
                    </a:lnRef>
                    <a:fillRef idx="1">
                      <a:schemeClr val="lt1"/>
                    </a:fillRef>
                    <a:effectRef idx="0">
                      <a:schemeClr val="dk1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60" name="Parallelogram 59">
                      <a:extLst>
                        <a:ext uri="{FF2B5EF4-FFF2-40B4-BE49-F238E27FC236}">
                          <a16:creationId xmlns:a16="http://schemas.microsoft.com/office/drawing/2014/main" id="{00000000-0008-0000-0000-00003C0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3638934" y="540820"/>
                      <a:ext cx="27432" cy="979940"/>
                    </a:xfrm>
                    <a:prstGeom prst="parallelogram">
                      <a:avLst/>
                    </a:prstGeom>
                    <a:ln w="6350"/>
                  </xdr:spPr>
                  <xdr:style>
                    <a:lnRef idx="2">
                      <a:schemeClr val="dk1"/>
                    </a:lnRef>
                    <a:fillRef idx="1">
                      <a:schemeClr val="lt1"/>
                    </a:fillRef>
                    <a:effectRef idx="0">
                      <a:schemeClr val="dk1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61" name="Parallelogram 60">
                      <a:extLst>
                        <a:ext uri="{FF2B5EF4-FFF2-40B4-BE49-F238E27FC236}">
                          <a16:creationId xmlns:a16="http://schemas.microsoft.com/office/drawing/2014/main" id="{00000000-0008-0000-0000-00003D0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3754319" y="605434"/>
                      <a:ext cx="27432" cy="889205"/>
                    </a:xfrm>
                    <a:prstGeom prst="parallelogram">
                      <a:avLst/>
                    </a:prstGeom>
                    <a:ln w="6350"/>
                  </xdr:spPr>
                  <xdr:style>
                    <a:lnRef idx="2">
                      <a:schemeClr val="dk1"/>
                    </a:lnRef>
                    <a:fillRef idx="1">
                      <a:schemeClr val="lt1"/>
                    </a:fillRef>
                    <a:effectRef idx="0">
                      <a:schemeClr val="dk1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62" name="Parallelogram 61">
                      <a:extLst>
                        <a:ext uri="{FF2B5EF4-FFF2-40B4-BE49-F238E27FC236}">
                          <a16:creationId xmlns:a16="http://schemas.microsoft.com/office/drawing/2014/main" id="{00000000-0008-0000-0000-00003E0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3862127" y="678120"/>
                      <a:ext cx="27432" cy="771249"/>
                    </a:xfrm>
                    <a:prstGeom prst="parallelogram">
                      <a:avLst/>
                    </a:prstGeom>
                    <a:ln w="6350"/>
                  </xdr:spPr>
                  <xdr:style>
                    <a:lnRef idx="2">
                      <a:schemeClr val="dk1"/>
                    </a:lnRef>
                    <a:fillRef idx="1">
                      <a:schemeClr val="lt1"/>
                    </a:fillRef>
                    <a:effectRef idx="0">
                      <a:schemeClr val="dk1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</xdr:grpSp>
              <xdr:sp macro="" textlink="">
                <xdr:nvSpPr>
                  <xdr:cNvPr id="49" name="Rectangle 48">
                    <a:extLst>
                      <a:ext uri="{FF2B5EF4-FFF2-40B4-BE49-F238E27FC236}">
                        <a16:creationId xmlns:a16="http://schemas.microsoft.com/office/drawing/2014/main" id="{00000000-0008-0000-0000-000031000000}"/>
                      </a:ext>
                    </a:extLst>
                  </xdr:cNvPr>
                  <xdr:cNvSpPr/>
                </xdr:nvSpPr>
                <xdr:spPr>
                  <a:xfrm>
                    <a:off x="3711829" y="1154128"/>
                    <a:ext cx="89815" cy="141019"/>
                  </a:xfrm>
                  <a:prstGeom prst="rect">
                    <a:avLst/>
                  </a:prstGeom>
                  <a:solidFill>
                    <a:srgbClr val="D9D9D9"/>
                  </a:solidFill>
                  <a:ln w="9525">
                    <a:solidFill>
                      <a:srgbClr val="000000"/>
                    </a:solidFill>
                    <a:miter lim="800000"/>
                    <a:headEnd/>
                    <a:tailEnd/>
                  </a:ln>
                </xdr:spPr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</xdr:grpSp>
          </xdr:grpSp>
          <xdr:sp macro="" textlink="">
            <xdr:nvSpPr>
              <xdr:cNvPr id="28" name="Rectangle 324">
                <a:extLst>
                  <a:ext uri="{FF2B5EF4-FFF2-40B4-BE49-F238E27FC236}">
                    <a16:creationId xmlns:a16="http://schemas.microsoft.com/office/drawing/2014/main" id="{00000000-0008-0000-0000-00001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20394578" flipV="1">
                <a:off x="2446937" y="1399252"/>
                <a:ext cx="1872227" cy="27432"/>
              </a:xfrm>
              <a:prstGeom prst="rect">
                <a:avLst/>
              </a:prstGeom>
              <a:solidFill>
                <a:srgbClr val="D9D9D9"/>
              </a:soli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0" name="Rectangle 324">
                <a:extLst>
                  <a:ext uri="{FF2B5EF4-FFF2-40B4-BE49-F238E27FC236}">
                    <a16:creationId xmlns:a16="http://schemas.microsoft.com/office/drawing/2014/main" id="{00000000-0008-0000-0000-00001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809058" flipV="1">
                <a:off x="2909889" y="720141"/>
                <a:ext cx="1444752" cy="27432"/>
              </a:xfrm>
              <a:prstGeom prst="rect">
                <a:avLst/>
              </a:prstGeom>
              <a:solidFill>
                <a:srgbClr val="D9D9D9"/>
              </a:soli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1" name="Oval 30">
                <a:extLst>
                  <a:ext uri="{FF2B5EF4-FFF2-40B4-BE49-F238E27FC236}">
                    <a16:creationId xmlns:a16="http://schemas.microsoft.com/office/drawing/2014/main" id="{00000000-0008-0000-0000-00001F000000}"/>
                  </a:ext>
                </a:extLst>
              </xdr:cNvPr>
              <xdr:cNvSpPr/>
            </xdr:nvSpPr>
            <xdr:spPr bwMode="auto">
              <a:xfrm>
                <a:off x="3493433" y="1257860"/>
                <a:ext cx="18288" cy="18288"/>
              </a:xfrm>
              <a:prstGeom prst="ellipse">
                <a:avLst/>
              </a:prstGeom>
              <a:ln w="9525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endParaRPr lang="en-US"/>
              </a:p>
            </xdr:txBody>
          </xdr:sp>
          <xdr:sp macro="" textlink="">
            <xdr:nvSpPr>
              <xdr:cNvPr id="32" name="Oval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SpPr/>
            </xdr:nvSpPr>
            <xdr:spPr bwMode="auto">
              <a:xfrm>
                <a:off x="3496235" y="1308287"/>
                <a:ext cx="18288" cy="18288"/>
              </a:xfrm>
              <a:prstGeom prst="ellipse">
                <a:avLst/>
              </a:prstGeom>
              <a:ln w="9525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endParaRPr lang="en-US"/>
              </a:p>
            </xdr:txBody>
          </xdr:sp>
          <xdr:sp macro="" textlink="">
            <xdr:nvSpPr>
              <xdr:cNvPr id="33" name="Parallelogram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SpPr/>
            </xdr:nvSpPr>
            <xdr:spPr bwMode="auto">
              <a:xfrm>
                <a:off x="3546661" y="696005"/>
                <a:ext cx="29783" cy="647244"/>
              </a:xfrm>
              <a:custGeom>
                <a:avLst/>
                <a:gdLst>
                  <a:gd name="connsiteX0" fmla="*/ 0 w 27408"/>
                  <a:gd name="connsiteY0" fmla="*/ 638169 h 638169"/>
                  <a:gd name="connsiteX1" fmla="*/ 6852 w 27408"/>
                  <a:gd name="connsiteY1" fmla="*/ 0 h 638169"/>
                  <a:gd name="connsiteX2" fmla="*/ 27408 w 27408"/>
                  <a:gd name="connsiteY2" fmla="*/ 0 h 638169"/>
                  <a:gd name="connsiteX3" fmla="*/ 20556 w 27408"/>
                  <a:gd name="connsiteY3" fmla="*/ 638169 h 638169"/>
                  <a:gd name="connsiteX4" fmla="*/ 0 w 27408"/>
                  <a:gd name="connsiteY4" fmla="*/ 638169 h 638169"/>
                  <a:gd name="connsiteX0" fmla="*/ 0 w 27408"/>
                  <a:gd name="connsiteY0" fmla="*/ 645312 h 645312"/>
                  <a:gd name="connsiteX1" fmla="*/ 9233 w 27408"/>
                  <a:gd name="connsiteY1" fmla="*/ 0 h 645312"/>
                  <a:gd name="connsiteX2" fmla="*/ 27408 w 27408"/>
                  <a:gd name="connsiteY2" fmla="*/ 7143 h 645312"/>
                  <a:gd name="connsiteX3" fmla="*/ 20556 w 27408"/>
                  <a:gd name="connsiteY3" fmla="*/ 645312 h 645312"/>
                  <a:gd name="connsiteX4" fmla="*/ 0 w 27408"/>
                  <a:gd name="connsiteY4" fmla="*/ 645312 h 645312"/>
                  <a:gd name="connsiteX0" fmla="*/ 0 w 29789"/>
                  <a:gd name="connsiteY0" fmla="*/ 645312 h 645312"/>
                  <a:gd name="connsiteX1" fmla="*/ 9233 w 29789"/>
                  <a:gd name="connsiteY1" fmla="*/ 0 h 645312"/>
                  <a:gd name="connsiteX2" fmla="*/ 29789 w 29789"/>
                  <a:gd name="connsiteY2" fmla="*/ 14286 h 645312"/>
                  <a:gd name="connsiteX3" fmla="*/ 20556 w 29789"/>
                  <a:gd name="connsiteY3" fmla="*/ 645312 h 645312"/>
                  <a:gd name="connsiteX4" fmla="*/ 0 w 29789"/>
                  <a:gd name="connsiteY4" fmla="*/ 645312 h 645312"/>
                  <a:gd name="connsiteX0" fmla="*/ 0 w 29789"/>
                  <a:gd name="connsiteY0" fmla="*/ 645312 h 645312"/>
                  <a:gd name="connsiteX1" fmla="*/ 9233 w 29789"/>
                  <a:gd name="connsiteY1" fmla="*/ 0 h 645312"/>
                  <a:gd name="connsiteX2" fmla="*/ 29789 w 29789"/>
                  <a:gd name="connsiteY2" fmla="*/ 14286 h 645312"/>
                  <a:gd name="connsiteX3" fmla="*/ 15793 w 29789"/>
                  <a:gd name="connsiteY3" fmla="*/ 631024 h 645312"/>
                  <a:gd name="connsiteX4" fmla="*/ 0 w 29789"/>
                  <a:gd name="connsiteY4" fmla="*/ 645312 h 64531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29789" h="645312">
                    <a:moveTo>
                      <a:pt x="0" y="645312"/>
                    </a:moveTo>
                    <a:lnTo>
                      <a:pt x="9233" y="0"/>
                    </a:lnTo>
                    <a:lnTo>
                      <a:pt x="29789" y="14286"/>
                    </a:lnTo>
                    <a:lnTo>
                      <a:pt x="15793" y="631024"/>
                    </a:lnTo>
                    <a:lnTo>
                      <a:pt x="0" y="645312"/>
                    </a:lnTo>
                    <a:close/>
                  </a:path>
                </a:pathLst>
              </a:custGeom>
              <a:ln w="635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endParaRPr lang="en-US"/>
              </a:p>
            </xdr:txBody>
          </xdr:sp>
          <xdr:sp macro="" textlink="">
            <xdr:nvSpPr>
              <xdr:cNvPr id="34" name="Parallelogram 33">
                <a:extLst>
                  <a:ext uri="{FF2B5EF4-FFF2-40B4-BE49-F238E27FC236}">
                    <a16:creationId xmlns:a16="http://schemas.microsoft.com/office/drawing/2014/main" id="{00000000-0008-0000-0000-000022000000}"/>
                  </a:ext>
                </a:extLst>
              </xdr:cNvPr>
              <xdr:cNvSpPr/>
            </xdr:nvSpPr>
            <xdr:spPr bwMode="auto">
              <a:xfrm>
                <a:off x="3655919" y="764802"/>
                <a:ext cx="29783" cy="548640"/>
              </a:xfrm>
              <a:custGeom>
                <a:avLst/>
                <a:gdLst>
                  <a:gd name="connsiteX0" fmla="*/ 0 w 27408"/>
                  <a:gd name="connsiteY0" fmla="*/ 547002 h 547002"/>
                  <a:gd name="connsiteX1" fmla="*/ 6852 w 27408"/>
                  <a:gd name="connsiteY1" fmla="*/ 0 h 547002"/>
                  <a:gd name="connsiteX2" fmla="*/ 27408 w 27408"/>
                  <a:gd name="connsiteY2" fmla="*/ 0 h 547002"/>
                  <a:gd name="connsiteX3" fmla="*/ 20556 w 27408"/>
                  <a:gd name="connsiteY3" fmla="*/ 547002 h 547002"/>
                  <a:gd name="connsiteX4" fmla="*/ 0 w 27408"/>
                  <a:gd name="connsiteY4" fmla="*/ 547002 h 547002"/>
                  <a:gd name="connsiteX0" fmla="*/ 0 w 29789"/>
                  <a:gd name="connsiteY0" fmla="*/ 547002 h 547002"/>
                  <a:gd name="connsiteX1" fmla="*/ 6852 w 29789"/>
                  <a:gd name="connsiteY1" fmla="*/ 0 h 547002"/>
                  <a:gd name="connsiteX2" fmla="*/ 29789 w 29789"/>
                  <a:gd name="connsiteY2" fmla="*/ 9525 h 547002"/>
                  <a:gd name="connsiteX3" fmla="*/ 20556 w 29789"/>
                  <a:gd name="connsiteY3" fmla="*/ 547002 h 547002"/>
                  <a:gd name="connsiteX4" fmla="*/ 0 w 29789"/>
                  <a:gd name="connsiteY4" fmla="*/ 547002 h 547002"/>
                  <a:gd name="connsiteX0" fmla="*/ 0 w 29789"/>
                  <a:gd name="connsiteY0" fmla="*/ 547002 h 547002"/>
                  <a:gd name="connsiteX1" fmla="*/ 6852 w 29789"/>
                  <a:gd name="connsiteY1" fmla="*/ 0 h 547002"/>
                  <a:gd name="connsiteX2" fmla="*/ 29789 w 29789"/>
                  <a:gd name="connsiteY2" fmla="*/ 9525 h 547002"/>
                  <a:gd name="connsiteX3" fmla="*/ 18175 w 29789"/>
                  <a:gd name="connsiteY3" fmla="*/ 523189 h 547002"/>
                  <a:gd name="connsiteX4" fmla="*/ 0 w 29789"/>
                  <a:gd name="connsiteY4" fmla="*/ 547002 h 54700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29789" h="547002">
                    <a:moveTo>
                      <a:pt x="0" y="547002"/>
                    </a:moveTo>
                    <a:lnTo>
                      <a:pt x="6852" y="0"/>
                    </a:lnTo>
                    <a:lnTo>
                      <a:pt x="29789" y="9525"/>
                    </a:lnTo>
                    <a:lnTo>
                      <a:pt x="18175" y="523189"/>
                    </a:lnTo>
                    <a:lnTo>
                      <a:pt x="0" y="547002"/>
                    </a:lnTo>
                    <a:close/>
                  </a:path>
                </a:pathLst>
              </a:custGeom>
              <a:ln w="635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endParaRPr lang="en-US"/>
              </a:p>
            </xdr:txBody>
          </xdr:sp>
          <xdr:sp macro="" textlink="">
            <xdr:nvSpPr>
              <xdr:cNvPr id="37" name="Parallelogram 36">
                <a:extLst>
                  <a:ext uri="{FF2B5EF4-FFF2-40B4-BE49-F238E27FC236}">
                    <a16:creationId xmlns:a16="http://schemas.microsoft.com/office/drawing/2014/main" id="{00000000-0008-0000-0000-000025000000}"/>
                  </a:ext>
                </a:extLst>
              </xdr:cNvPr>
              <xdr:cNvSpPr/>
            </xdr:nvSpPr>
            <xdr:spPr bwMode="auto">
              <a:xfrm>
                <a:off x="4025712" y="974912"/>
                <a:ext cx="25022" cy="182880"/>
              </a:xfrm>
              <a:custGeom>
                <a:avLst/>
                <a:gdLst>
                  <a:gd name="connsiteX0" fmla="*/ 0 w 27408"/>
                  <a:gd name="connsiteY0" fmla="*/ 182334 h 182334"/>
                  <a:gd name="connsiteX1" fmla="*/ 6852 w 27408"/>
                  <a:gd name="connsiteY1" fmla="*/ 0 h 182334"/>
                  <a:gd name="connsiteX2" fmla="*/ 27408 w 27408"/>
                  <a:gd name="connsiteY2" fmla="*/ 0 h 182334"/>
                  <a:gd name="connsiteX3" fmla="*/ 20556 w 27408"/>
                  <a:gd name="connsiteY3" fmla="*/ 182334 h 182334"/>
                  <a:gd name="connsiteX4" fmla="*/ 0 w 27408"/>
                  <a:gd name="connsiteY4" fmla="*/ 182334 h 182334"/>
                  <a:gd name="connsiteX0" fmla="*/ 0 w 25027"/>
                  <a:gd name="connsiteY0" fmla="*/ 182334 h 182334"/>
                  <a:gd name="connsiteX1" fmla="*/ 6852 w 25027"/>
                  <a:gd name="connsiteY1" fmla="*/ 0 h 182334"/>
                  <a:gd name="connsiteX2" fmla="*/ 25027 w 25027"/>
                  <a:gd name="connsiteY2" fmla="*/ 9525 h 182334"/>
                  <a:gd name="connsiteX3" fmla="*/ 20556 w 25027"/>
                  <a:gd name="connsiteY3" fmla="*/ 182334 h 182334"/>
                  <a:gd name="connsiteX4" fmla="*/ 0 w 25027"/>
                  <a:gd name="connsiteY4" fmla="*/ 182334 h 182334"/>
                  <a:gd name="connsiteX0" fmla="*/ 0 w 25027"/>
                  <a:gd name="connsiteY0" fmla="*/ 182334 h 182334"/>
                  <a:gd name="connsiteX1" fmla="*/ 6852 w 25027"/>
                  <a:gd name="connsiteY1" fmla="*/ 0 h 182334"/>
                  <a:gd name="connsiteX2" fmla="*/ 25027 w 25027"/>
                  <a:gd name="connsiteY2" fmla="*/ 9525 h 182334"/>
                  <a:gd name="connsiteX3" fmla="*/ 18175 w 25027"/>
                  <a:gd name="connsiteY3" fmla="*/ 172809 h 182334"/>
                  <a:gd name="connsiteX4" fmla="*/ 0 w 25027"/>
                  <a:gd name="connsiteY4" fmla="*/ 182334 h 182334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25027" h="182334">
                    <a:moveTo>
                      <a:pt x="0" y="182334"/>
                    </a:moveTo>
                    <a:lnTo>
                      <a:pt x="6852" y="0"/>
                    </a:lnTo>
                    <a:lnTo>
                      <a:pt x="25027" y="9525"/>
                    </a:lnTo>
                    <a:lnTo>
                      <a:pt x="18175" y="172809"/>
                    </a:lnTo>
                    <a:lnTo>
                      <a:pt x="0" y="182334"/>
                    </a:lnTo>
                    <a:close/>
                  </a:path>
                </a:pathLst>
              </a:custGeom>
              <a:ln w="6350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endParaRPr lang="en-US"/>
              </a:p>
            </xdr:txBody>
          </xdr:sp>
          <xdr:sp macro="" textlink="">
            <xdr:nvSpPr>
              <xdr:cNvPr id="40" name="Oval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SpPr/>
            </xdr:nvSpPr>
            <xdr:spPr bwMode="auto">
              <a:xfrm>
                <a:off x="2381250" y="1624854"/>
                <a:ext cx="18288" cy="18288"/>
              </a:xfrm>
              <a:prstGeom prst="ellipse">
                <a:avLst/>
              </a:prstGeom>
              <a:ln w="9525"/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endParaRPr lang="en-US"/>
              </a:p>
            </xdr:txBody>
          </xdr:sp>
        </xdr:grpSp>
        <xdr:sp macro="" textlink="">
          <xdr:nvSpPr>
            <xdr:cNvPr id="27" name="Parallelogram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/>
          </xdr:nvSpPr>
          <xdr:spPr bwMode="auto">
            <a:xfrm>
              <a:off x="2893439" y="395727"/>
              <a:ext cx="27423" cy="1179576"/>
            </a:xfrm>
            <a:prstGeom prst="parallelogram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</xdr:grpSp>
      <xdr:sp macro="" textlink="">
        <xdr:nvSpPr>
          <xdr:cNvPr id="45" name="Oval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 bwMode="auto">
          <a:xfrm>
            <a:off x="2386741" y="1668557"/>
            <a:ext cx="18288" cy="18288"/>
          </a:xfrm>
          <a:prstGeom prst="ellipse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523875</xdr:colOff>
          <xdr:row>4</xdr:row>
          <xdr:rowOff>95250</xdr:rowOff>
        </xdr:from>
        <xdr:to>
          <xdr:col>3</xdr:col>
          <xdr:colOff>1666875</xdr:colOff>
          <xdr:row>6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Desparte formula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47625</xdr:rowOff>
        </xdr:from>
        <xdr:to>
          <xdr:col>3</xdr:col>
          <xdr:colOff>419100</xdr:colOff>
          <xdr:row>17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Calculeaza necesar fire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77"/>
  <sheetViews>
    <sheetView zoomScaleNormal="100" workbookViewId="0">
      <selection activeCell="N8" sqref="N8"/>
    </sheetView>
  </sheetViews>
  <sheetFormatPr defaultRowHeight="12.75" x14ac:dyDescent="0.2"/>
  <cols>
    <col min="1" max="1" width="17" style="1" customWidth="1"/>
    <col min="2" max="2" width="9.28515625" style="1" customWidth="1"/>
    <col min="3" max="3" width="16.85546875" style="1" customWidth="1"/>
    <col min="4" max="4" width="15" style="1" customWidth="1"/>
    <col min="5" max="5" width="13.42578125" style="1" customWidth="1"/>
    <col min="6" max="6" width="11" style="1" customWidth="1"/>
    <col min="7" max="7" width="10.42578125" style="1" customWidth="1"/>
    <col min="8" max="8" width="14.85546875" style="1" customWidth="1"/>
    <col min="9" max="9" width="11" style="1" customWidth="1"/>
    <col min="10" max="10" width="6.28515625" style="1" customWidth="1"/>
    <col min="11" max="11" width="5.85546875" style="1" customWidth="1"/>
    <col min="12" max="12" width="5.7109375" style="1" customWidth="1"/>
    <col min="13" max="13" width="10" style="1" customWidth="1"/>
    <col min="14" max="14" width="8.5703125" style="1" customWidth="1"/>
    <col min="15" max="15" width="5.7109375" style="1" customWidth="1"/>
    <col min="16" max="16" width="12" style="1" customWidth="1"/>
    <col min="17" max="17" width="10.28515625" style="1" customWidth="1"/>
    <col min="18" max="18" width="6" style="1" customWidth="1"/>
    <col min="19" max="19" width="10.140625" style="1" customWidth="1"/>
    <col min="20" max="20" width="8.140625" style="1" customWidth="1"/>
    <col min="21" max="21" width="5.85546875" style="1" customWidth="1"/>
    <col min="22" max="22" width="11.28515625" style="1" customWidth="1"/>
    <col min="23" max="23" width="7.7109375" style="1" customWidth="1"/>
    <col min="24" max="24" width="6.85546875" style="1" customWidth="1"/>
    <col min="25" max="25" width="6.5703125" style="1" customWidth="1"/>
    <col min="26" max="26" width="5.85546875" style="1" customWidth="1"/>
    <col min="27" max="27" width="6.28515625" style="1" customWidth="1"/>
    <col min="28" max="28" width="7.140625" style="1" customWidth="1"/>
    <col min="29" max="29" width="6.7109375" style="1" customWidth="1"/>
    <col min="30" max="30" width="5.5703125" style="1" customWidth="1"/>
    <col min="31" max="31" width="7.140625" style="1" customWidth="1"/>
    <col min="32" max="32" width="6.5703125" style="1" customWidth="1"/>
    <col min="33" max="33" width="5.85546875" style="1" customWidth="1"/>
    <col min="34" max="34" width="6.85546875" style="1" customWidth="1"/>
    <col min="35" max="35" width="6" style="1" customWidth="1"/>
    <col min="36" max="36" width="5.85546875" style="1" customWidth="1"/>
    <col min="37" max="37" width="6.140625" style="1" customWidth="1"/>
    <col min="38" max="38" width="5.7109375" style="1" customWidth="1"/>
    <col min="39" max="258" width="9.140625" style="1"/>
    <col min="259" max="259" width="23.85546875" style="1" customWidth="1"/>
    <col min="260" max="260" width="9.28515625" style="1" bestFit="1" customWidth="1"/>
    <col min="261" max="261" width="9.5703125" style="1" bestFit="1" customWidth="1"/>
    <col min="262" max="262" width="9.7109375" style="1" bestFit="1" customWidth="1"/>
    <col min="263" max="263" width="9.85546875" style="1" customWidth="1"/>
    <col min="264" max="264" width="10.28515625" style="1" customWidth="1"/>
    <col min="265" max="265" width="10.5703125" style="1" customWidth="1"/>
    <col min="266" max="266" width="8.28515625" style="1" customWidth="1"/>
    <col min="267" max="267" width="8.140625" style="1" customWidth="1"/>
    <col min="268" max="268" width="18" style="1" customWidth="1"/>
    <col min="269" max="514" width="9.140625" style="1"/>
    <col min="515" max="515" width="23.85546875" style="1" customWidth="1"/>
    <col min="516" max="516" width="9.28515625" style="1" bestFit="1" customWidth="1"/>
    <col min="517" max="517" width="9.5703125" style="1" bestFit="1" customWidth="1"/>
    <col min="518" max="518" width="9.7109375" style="1" bestFit="1" customWidth="1"/>
    <col min="519" max="519" width="9.85546875" style="1" customWidth="1"/>
    <col min="520" max="520" width="10.28515625" style="1" customWidth="1"/>
    <col min="521" max="521" width="10.5703125" style="1" customWidth="1"/>
    <col min="522" max="522" width="8.28515625" style="1" customWidth="1"/>
    <col min="523" max="523" width="8.140625" style="1" customWidth="1"/>
    <col min="524" max="524" width="18" style="1" customWidth="1"/>
    <col min="525" max="770" width="9.140625" style="1"/>
    <col min="771" max="771" width="23.85546875" style="1" customWidth="1"/>
    <col min="772" max="772" width="9.28515625" style="1" bestFit="1" customWidth="1"/>
    <col min="773" max="773" width="9.5703125" style="1" bestFit="1" customWidth="1"/>
    <col min="774" max="774" width="9.7109375" style="1" bestFit="1" customWidth="1"/>
    <col min="775" max="775" width="9.85546875" style="1" customWidth="1"/>
    <col min="776" max="776" width="10.28515625" style="1" customWidth="1"/>
    <col min="777" max="777" width="10.5703125" style="1" customWidth="1"/>
    <col min="778" max="778" width="8.28515625" style="1" customWidth="1"/>
    <col min="779" max="779" width="8.140625" style="1" customWidth="1"/>
    <col min="780" max="780" width="18" style="1" customWidth="1"/>
    <col min="781" max="1026" width="9.140625" style="1"/>
    <col min="1027" max="1027" width="23.85546875" style="1" customWidth="1"/>
    <col min="1028" max="1028" width="9.28515625" style="1" bestFit="1" customWidth="1"/>
    <col min="1029" max="1029" width="9.5703125" style="1" bestFit="1" customWidth="1"/>
    <col min="1030" max="1030" width="9.7109375" style="1" bestFit="1" customWidth="1"/>
    <col min="1031" max="1031" width="9.85546875" style="1" customWidth="1"/>
    <col min="1032" max="1032" width="10.28515625" style="1" customWidth="1"/>
    <col min="1033" max="1033" width="10.5703125" style="1" customWidth="1"/>
    <col min="1034" max="1034" width="8.28515625" style="1" customWidth="1"/>
    <col min="1035" max="1035" width="8.140625" style="1" customWidth="1"/>
    <col min="1036" max="1036" width="18" style="1" customWidth="1"/>
    <col min="1037" max="1282" width="9.140625" style="1"/>
    <col min="1283" max="1283" width="23.85546875" style="1" customWidth="1"/>
    <col min="1284" max="1284" width="9.28515625" style="1" bestFit="1" customWidth="1"/>
    <col min="1285" max="1285" width="9.5703125" style="1" bestFit="1" customWidth="1"/>
    <col min="1286" max="1286" width="9.7109375" style="1" bestFit="1" customWidth="1"/>
    <col min="1287" max="1287" width="9.85546875" style="1" customWidth="1"/>
    <col min="1288" max="1288" width="10.28515625" style="1" customWidth="1"/>
    <col min="1289" max="1289" width="10.5703125" style="1" customWidth="1"/>
    <col min="1290" max="1290" width="8.28515625" style="1" customWidth="1"/>
    <col min="1291" max="1291" width="8.140625" style="1" customWidth="1"/>
    <col min="1292" max="1292" width="18" style="1" customWidth="1"/>
    <col min="1293" max="1538" width="9.140625" style="1"/>
    <col min="1539" max="1539" width="23.85546875" style="1" customWidth="1"/>
    <col min="1540" max="1540" width="9.28515625" style="1" bestFit="1" customWidth="1"/>
    <col min="1541" max="1541" width="9.5703125" style="1" bestFit="1" customWidth="1"/>
    <col min="1542" max="1542" width="9.7109375" style="1" bestFit="1" customWidth="1"/>
    <col min="1543" max="1543" width="9.85546875" style="1" customWidth="1"/>
    <col min="1544" max="1544" width="10.28515625" style="1" customWidth="1"/>
    <col min="1545" max="1545" width="10.5703125" style="1" customWidth="1"/>
    <col min="1546" max="1546" width="8.28515625" style="1" customWidth="1"/>
    <col min="1547" max="1547" width="8.140625" style="1" customWidth="1"/>
    <col min="1548" max="1548" width="18" style="1" customWidth="1"/>
    <col min="1549" max="1794" width="9.140625" style="1"/>
    <col min="1795" max="1795" width="23.85546875" style="1" customWidth="1"/>
    <col min="1796" max="1796" width="9.28515625" style="1" bestFit="1" customWidth="1"/>
    <col min="1797" max="1797" width="9.5703125" style="1" bestFit="1" customWidth="1"/>
    <col min="1798" max="1798" width="9.7109375" style="1" bestFit="1" customWidth="1"/>
    <col min="1799" max="1799" width="9.85546875" style="1" customWidth="1"/>
    <col min="1800" max="1800" width="10.28515625" style="1" customWidth="1"/>
    <col min="1801" max="1801" width="10.5703125" style="1" customWidth="1"/>
    <col min="1802" max="1802" width="8.28515625" style="1" customWidth="1"/>
    <col min="1803" max="1803" width="8.140625" style="1" customWidth="1"/>
    <col min="1804" max="1804" width="18" style="1" customWidth="1"/>
    <col min="1805" max="2050" width="9.140625" style="1"/>
    <col min="2051" max="2051" width="23.85546875" style="1" customWidth="1"/>
    <col min="2052" max="2052" width="9.28515625" style="1" bestFit="1" customWidth="1"/>
    <col min="2053" max="2053" width="9.5703125" style="1" bestFit="1" customWidth="1"/>
    <col min="2054" max="2054" width="9.7109375" style="1" bestFit="1" customWidth="1"/>
    <col min="2055" max="2055" width="9.85546875" style="1" customWidth="1"/>
    <col min="2056" max="2056" width="10.28515625" style="1" customWidth="1"/>
    <col min="2057" max="2057" width="10.5703125" style="1" customWidth="1"/>
    <col min="2058" max="2058" width="8.28515625" style="1" customWidth="1"/>
    <col min="2059" max="2059" width="8.140625" style="1" customWidth="1"/>
    <col min="2060" max="2060" width="18" style="1" customWidth="1"/>
    <col min="2061" max="2306" width="9.140625" style="1"/>
    <col min="2307" max="2307" width="23.85546875" style="1" customWidth="1"/>
    <col min="2308" max="2308" width="9.28515625" style="1" bestFit="1" customWidth="1"/>
    <col min="2309" max="2309" width="9.5703125" style="1" bestFit="1" customWidth="1"/>
    <col min="2310" max="2310" width="9.7109375" style="1" bestFit="1" customWidth="1"/>
    <col min="2311" max="2311" width="9.85546875" style="1" customWidth="1"/>
    <col min="2312" max="2312" width="10.28515625" style="1" customWidth="1"/>
    <col min="2313" max="2313" width="10.5703125" style="1" customWidth="1"/>
    <col min="2314" max="2314" width="8.28515625" style="1" customWidth="1"/>
    <col min="2315" max="2315" width="8.140625" style="1" customWidth="1"/>
    <col min="2316" max="2316" width="18" style="1" customWidth="1"/>
    <col min="2317" max="2562" width="9.140625" style="1"/>
    <col min="2563" max="2563" width="23.85546875" style="1" customWidth="1"/>
    <col min="2564" max="2564" width="9.28515625" style="1" bestFit="1" customWidth="1"/>
    <col min="2565" max="2565" width="9.5703125" style="1" bestFit="1" customWidth="1"/>
    <col min="2566" max="2566" width="9.7109375" style="1" bestFit="1" customWidth="1"/>
    <col min="2567" max="2567" width="9.85546875" style="1" customWidth="1"/>
    <col min="2568" max="2568" width="10.28515625" style="1" customWidth="1"/>
    <col min="2569" max="2569" width="10.5703125" style="1" customWidth="1"/>
    <col min="2570" max="2570" width="8.28515625" style="1" customWidth="1"/>
    <col min="2571" max="2571" width="8.140625" style="1" customWidth="1"/>
    <col min="2572" max="2572" width="18" style="1" customWidth="1"/>
    <col min="2573" max="2818" width="9.140625" style="1"/>
    <col min="2819" max="2819" width="23.85546875" style="1" customWidth="1"/>
    <col min="2820" max="2820" width="9.28515625" style="1" bestFit="1" customWidth="1"/>
    <col min="2821" max="2821" width="9.5703125" style="1" bestFit="1" customWidth="1"/>
    <col min="2822" max="2822" width="9.7109375" style="1" bestFit="1" customWidth="1"/>
    <col min="2823" max="2823" width="9.85546875" style="1" customWidth="1"/>
    <col min="2824" max="2824" width="10.28515625" style="1" customWidth="1"/>
    <col min="2825" max="2825" width="10.5703125" style="1" customWidth="1"/>
    <col min="2826" max="2826" width="8.28515625" style="1" customWidth="1"/>
    <col min="2827" max="2827" width="8.140625" style="1" customWidth="1"/>
    <col min="2828" max="2828" width="18" style="1" customWidth="1"/>
    <col min="2829" max="3074" width="9.140625" style="1"/>
    <col min="3075" max="3075" width="23.85546875" style="1" customWidth="1"/>
    <col min="3076" max="3076" width="9.28515625" style="1" bestFit="1" customWidth="1"/>
    <col min="3077" max="3077" width="9.5703125" style="1" bestFit="1" customWidth="1"/>
    <col min="3078" max="3078" width="9.7109375" style="1" bestFit="1" customWidth="1"/>
    <col min="3079" max="3079" width="9.85546875" style="1" customWidth="1"/>
    <col min="3080" max="3080" width="10.28515625" style="1" customWidth="1"/>
    <col min="3081" max="3081" width="10.5703125" style="1" customWidth="1"/>
    <col min="3082" max="3082" width="8.28515625" style="1" customWidth="1"/>
    <col min="3083" max="3083" width="8.140625" style="1" customWidth="1"/>
    <col min="3084" max="3084" width="18" style="1" customWidth="1"/>
    <col min="3085" max="3330" width="9.140625" style="1"/>
    <col min="3331" max="3331" width="23.85546875" style="1" customWidth="1"/>
    <col min="3332" max="3332" width="9.28515625" style="1" bestFit="1" customWidth="1"/>
    <col min="3333" max="3333" width="9.5703125" style="1" bestFit="1" customWidth="1"/>
    <col min="3334" max="3334" width="9.7109375" style="1" bestFit="1" customWidth="1"/>
    <col min="3335" max="3335" width="9.85546875" style="1" customWidth="1"/>
    <col min="3336" max="3336" width="10.28515625" style="1" customWidth="1"/>
    <col min="3337" max="3337" width="10.5703125" style="1" customWidth="1"/>
    <col min="3338" max="3338" width="8.28515625" style="1" customWidth="1"/>
    <col min="3339" max="3339" width="8.140625" style="1" customWidth="1"/>
    <col min="3340" max="3340" width="18" style="1" customWidth="1"/>
    <col min="3341" max="3586" width="9.140625" style="1"/>
    <col min="3587" max="3587" width="23.85546875" style="1" customWidth="1"/>
    <col min="3588" max="3588" width="9.28515625" style="1" bestFit="1" customWidth="1"/>
    <col min="3589" max="3589" width="9.5703125" style="1" bestFit="1" customWidth="1"/>
    <col min="3590" max="3590" width="9.7109375" style="1" bestFit="1" customWidth="1"/>
    <col min="3591" max="3591" width="9.85546875" style="1" customWidth="1"/>
    <col min="3592" max="3592" width="10.28515625" style="1" customWidth="1"/>
    <col min="3593" max="3593" width="10.5703125" style="1" customWidth="1"/>
    <col min="3594" max="3594" width="8.28515625" style="1" customWidth="1"/>
    <col min="3595" max="3595" width="8.140625" style="1" customWidth="1"/>
    <col min="3596" max="3596" width="18" style="1" customWidth="1"/>
    <col min="3597" max="3842" width="9.140625" style="1"/>
    <col min="3843" max="3843" width="23.85546875" style="1" customWidth="1"/>
    <col min="3844" max="3844" width="9.28515625" style="1" bestFit="1" customWidth="1"/>
    <col min="3845" max="3845" width="9.5703125" style="1" bestFit="1" customWidth="1"/>
    <col min="3846" max="3846" width="9.7109375" style="1" bestFit="1" customWidth="1"/>
    <col min="3847" max="3847" width="9.85546875" style="1" customWidth="1"/>
    <col min="3848" max="3848" width="10.28515625" style="1" customWidth="1"/>
    <col min="3849" max="3849" width="10.5703125" style="1" customWidth="1"/>
    <col min="3850" max="3850" width="8.28515625" style="1" customWidth="1"/>
    <col min="3851" max="3851" width="8.140625" style="1" customWidth="1"/>
    <col min="3852" max="3852" width="18" style="1" customWidth="1"/>
    <col min="3853" max="4098" width="9.140625" style="1"/>
    <col min="4099" max="4099" width="23.85546875" style="1" customWidth="1"/>
    <col min="4100" max="4100" width="9.28515625" style="1" bestFit="1" customWidth="1"/>
    <col min="4101" max="4101" width="9.5703125" style="1" bestFit="1" customWidth="1"/>
    <col min="4102" max="4102" width="9.7109375" style="1" bestFit="1" customWidth="1"/>
    <col min="4103" max="4103" width="9.85546875" style="1" customWidth="1"/>
    <col min="4104" max="4104" width="10.28515625" style="1" customWidth="1"/>
    <col min="4105" max="4105" width="10.5703125" style="1" customWidth="1"/>
    <col min="4106" max="4106" width="8.28515625" style="1" customWidth="1"/>
    <col min="4107" max="4107" width="8.140625" style="1" customWidth="1"/>
    <col min="4108" max="4108" width="18" style="1" customWidth="1"/>
    <col min="4109" max="4354" width="9.140625" style="1"/>
    <col min="4355" max="4355" width="23.85546875" style="1" customWidth="1"/>
    <col min="4356" max="4356" width="9.28515625" style="1" bestFit="1" customWidth="1"/>
    <col min="4357" max="4357" width="9.5703125" style="1" bestFit="1" customWidth="1"/>
    <col min="4358" max="4358" width="9.7109375" style="1" bestFit="1" customWidth="1"/>
    <col min="4359" max="4359" width="9.85546875" style="1" customWidth="1"/>
    <col min="4360" max="4360" width="10.28515625" style="1" customWidth="1"/>
    <col min="4361" max="4361" width="10.5703125" style="1" customWidth="1"/>
    <col min="4362" max="4362" width="8.28515625" style="1" customWidth="1"/>
    <col min="4363" max="4363" width="8.140625" style="1" customWidth="1"/>
    <col min="4364" max="4364" width="18" style="1" customWidth="1"/>
    <col min="4365" max="4610" width="9.140625" style="1"/>
    <col min="4611" max="4611" width="23.85546875" style="1" customWidth="1"/>
    <col min="4612" max="4612" width="9.28515625" style="1" bestFit="1" customWidth="1"/>
    <col min="4613" max="4613" width="9.5703125" style="1" bestFit="1" customWidth="1"/>
    <col min="4614" max="4614" width="9.7109375" style="1" bestFit="1" customWidth="1"/>
    <col min="4615" max="4615" width="9.85546875" style="1" customWidth="1"/>
    <col min="4616" max="4616" width="10.28515625" style="1" customWidth="1"/>
    <col min="4617" max="4617" width="10.5703125" style="1" customWidth="1"/>
    <col min="4618" max="4618" width="8.28515625" style="1" customWidth="1"/>
    <col min="4619" max="4619" width="8.140625" style="1" customWidth="1"/>
    <col min="4620" max="4620" width="18" style="1" customWidth="1"/>
    <col min="4621" max="4866" width="9.140625" style="1"/>
    <col min="4867" max="4867" width="23.85546875" style="1" customWidth="1"/>
    <col min="4868" max="4868" width="9.28515625" style="1" bestFit="1" customWidth="1"/>
    <col min="4869" max="4869" width="9.5703125" style="1" bestFit="1" customWidth="1"/>
    <col min="4870" max="4870" width="9.7109375" style="1" bestFit="1" customWidth="1"/>
    <col min="4871" max="4871" width="9.85546875" style="1" customWidth="1"/>
    <col min="4872" max="4872" width="10.28515625" style="1" customWidth="1"/>
    <col min="4873" max="4873" width="10.5703125" style="1" customWidth="1"/>
    <col min="4874" max="4874" width="8.28515625" style="1" customWidth="1"/>
    <col min="4875" max="4875" width="8.140625" style="1" customWidth="1"/>
    <col min="4876" max="4876" width="18" style="1" customWidth="1"/>
    <col min="4877" max="5122" width="9.140625" style="1"/>
    <col min="5123" max="5123" width="23.85546875" style="1" customWidth="1"/>
    <col min="5124" max="5124" width="9.28515625" style="1" bestFit="1" customWidth="1"/>
    <col min="5125" max="5125" width="9.5703125" style="1" bestFit="1" customWidth="1"/>
    <col min="5126" max="5126" width="9.7109375" style="1" bestFit="1" customWidth="1"/>
    <col min="5127" max="5127" width="9.85546875" style="1" customWidth="1"/>
    <col min="5128" max="5128" width="10.28515625" style="1" customWidth="1"/>
    <col min="5129" max="5129" width="10.5703125" style="1" customWidth="1"/>
    <col min="5130" max="5130" width="8.28515625" style="1" customWidth="1"/>
    <col min="5131" max="5131" width="8.140625" style="1" customWidth="1"/>
    <col min="5132" max="5132" width="18" style="1" customWidth="1"/>
    <col min="5133" max="5378" width="9.140625" style="1"/>
    <col min="5379" max="5379" width="23.85546875" style="1" customWidth="1"/>
    <col min="5380" max="5380" width="9.28515625" style="1" bestFit="1" customWidth="1"/>
    <col min="5381" max="5381" width="9.5703125" style="1" bestFit="1" customWidth="1"/>
    <col min="5382" max="5382" width="9.7109375" style="1" bestFit="1" customWidth="1"/>
    <col min="5383" max="5383" width="9.85546875" style="1" customWidth="1"/>
    <col min="5384" max="5384" width="10.28515625" style="1" customWidth="1"/>
    <col min="5385" max="5385" width="10.5703125" style="1" customWidth="1"/>
    <col min="5386" max="5386" width="8.28515625" style="1" customWidth="1"/>
    <col min="5387" max="5387" width="8.140625" style="1" customWidth="1"/>
    <col min="5388" max="5388" width="18" style="1" customWidth="1"/>
    <col min="5389" max="5634" width="9.140625" style="1"/>
    <col min="5635" max="5635" width="23.85546875" style="1" customWidth="1"/>
    <col min="5636" max="5636" width="9.28515625" style="1" bestFit="1" customWidth="1"/>
    <col min="5637" max="5637" width="9.5703125" style="1" bestFit="1" customWidth="1"/>
    <col min="5638" max="5638" width="9.7109375" style="1" bestFit="1" customWidth="1"/>
    <col min="5639" max="5639" width="9.85546875" style="1" customWidth="1"/>
    <col min="5640" max="5640" width="10.28515625" style="1" customWidth="1"/>
    <col min="5641" max="5641" width="10.5703125" style="1" customWidth="1"/>
    <col min="5642" max="5642" width="8.28515625" style="1" customWidth="1"/>
    <col min="5643" max="5643" width="8.140625" style="1" customWidth="1"/>
    <col min="5644" max="5644" width="18" style="1" customWidth="1"/>
    <col min="5645" max="5890" width="9.140625" style="1"/>
    <col min="5891" max="5891" width="23.85546875" style="1" customWidth="1"/>
    <col min="5892" max="5892" width="9.28515625" style="1" bestFit="1" customWidth="1"/>
    <col min="5893" max="5893" width="9.5703125" style="1" bestFit="1" customWidth="1"/>
    <col min="5894" max="5894" width="9.7109375" style="1" bestFit="1" customWidth="1"/>
    <col min="5895" max="5895" width="9.85546875" style="1" customWidth="1"/>
    <col min="5896" max="5896" width="10.28515625" style="1" customWidth="1"/>
    <col min="5897" max="5897" width="10.5703125" style="1" customWidth="1"/>
    <col min="5898" max="5898" width="8.28515625" style="1" customWidth="1"/>
    <col min="5899" max="5899" width="8.140625" style="1" customWidth="1"/>
    <col min="5900" max="5900" width="18" style="1" customWidth="1"/>
    <col min="5901" max="6146" width="9.140625" style="1"/>
    <col min="6147" max="6147" width="23.85546875" style="1" customWidth="1"/>
    <col min="6148" max="6148" width="9.28515625" style="1" bestFit="1" customWidth="1"/>
    <col min="6149" max="6149" width="9.5703125" style="1" bestFit="1" customWidth="1"/>
    <col min="6150" max="6150" width="9.7109375" style="1" bestFit="1" customWidth="1"/>
    <col min="6151" max="6151" width="9.85546875" style="1" customWidth="1"/>
    <col min="6152" max="6152" width="10.28515625" style="1" customWidth="1"/>
    <col min="6153" max="6153" width="10.5703125" style="1" customWidth="1"/>
    <col min="6154" max="6154" width="8.28515625" style="1" customWidth="1"/>
    <col min="6155" max="6155" width="8.140625" style="1" customWidth="1"/>
    <col min="6156" max="6156" width="18" style="1" customWidth="1"/>
    <col min="6157" max="6402" width="9.140625" style="1"/>
    <col min="6403" max="6403" width="23.85546875" style="1" customWidth="1"/>
    <col min="6404" max="6404" width="9.28515625" style="1" bestFit="1" customWidth="1"/>
    <col min="6405" max="6405" width="9.5703125" style="1" bestFit="1" customWidth="1"/>
    <col min="6406" max="6406" width="9.7109375" style="1" bestFit="1" customWidth="1"/>
    <col min="6407" max="6407" width="9.85546875" style="1" customWidth="1"/>
    <col min="6408" max="6408" width="10.28515625" style="1" customWidth="1"/>
    <col min="6409" max="6409" width="10.5703125" style="1" customWidth="1"/>
    <col min="6410" max="6410" width="8.28515625" style="1" customWidth="1"/>
    <col min="6411" max="6411" width="8.140625" style="1" customWidth="1"/>
    <col min="6412" max="6412" width="18" style="1" customWidth="1"/>
    <col min="6413" max="6658" width="9.140625" style="1"/>
    <col min="6659" max="6659" width="23.85546875" style="1" customWidth="1"/>
    <col min="6660" max="6660" width="9.28515625" style="1" bestFit="1" customWidth="1"/>
    <col min="6661" max="6661" width="9.5703125" style="1" bestFit="1" customWidth="1"/>
    <col min="6662" max="6662" width="9.7109375" style="1" bestFit="1" customWidth="1"/>
    <col min="6663" max="6663" width="9.85546875" style="1" customWidth="1"/>
    <col min="6664" max="6664" width="10.28515625" style="1" customWidth="1"/>
    <col min="6665" max="6665" width="10.5703125" style="1" customWidth="1"/>
    <col min="6666" max="6666" width="8.28515625" style="1" customWidth="1"/>
    <col min="6667" max="6667" width="8.140625" style="1" customWidth="1"/>
    <col min="6668" max="6668" width="18" style="1" customWidth="1"/>
    <col min="6669" max="6914" width="9.140625" style="1"/>
    <col min="6915" max="6915" width="23.85546875" style="1" customWidth="1"/>
    <col min="6916" max="6916" width="9.28515625" style="1" bestFit="1" customWidth="1"/>
    <col min="6917" max="6917" width="9.5703125" style="1" bestFit="1" customWidth="1"/>
    <col min="6918" max="6918" width="9.7109375" style="1" bestFit="1" customWidth="1"/>
    <col min="6919" max="6919" width="9.85546875" style="1" customWidth="1"/>
    <col min="6920" max="6920" width="10.28515625" style="1" customWidth="1"/>
    <col min="6921" max="6921" width="10.5703125" style="1" customWidth="1"/>
    <col min="6922" max="6922" width="8.28515625" style="1" customWidth="1"/>
    <col min="6923" max="6923" width="8.140625" style="1" customWidth="1"/>
    <col min="6924" max="6924" width="18" style="1" customWidth="1"/>
    <col min="6925" max="7170" width="9.140625" style="1"/>
    <col min="7171" max="7171" width="23.85546875" style="1" customWidth="1"/>
    <col min="7172" max="7172" width="9.28515625" style="1" bestFit="1" customWidth="1"/>
    <col min="7173" max="7173" width="9.5703125" style="1" bestFit="1" customWidth="1"/>
    <col min="7174" max="7174" width="9.7109375" style="1" bestFit="1" customWidth="1"/>
    <col min="7175" max="7175" width="9.85546875" style="1" customWidth="1"/>
    <col min="7176" max="7176" width="10.28515625" style="1" customWidth="1"/>
    <col min="7177" max="7177" width="10.5703125" style="1" customWidth="1"/>
    <col min="7178" max="7178" width="8.28515625" style="1" customWidth="1"/>
    <col min="7179" max="7179" width="8.140625" style="1" customWidth="1"/>
    <col min="7180" max="7180" width="18" style="1" customWidth="1"/>
    <col min="7181" max="7426" width="9.140625" style="1"/>
    <col min="7427" max="7427" width="23.85546875" style="1" customWidth="1"/>
    <col min="7428" max="7428" width="9.28515625" style="1" bestFit="1" customWidth="1"/>
    <col min="7429" max="7429" width="9.5703125" style="1" bestFit="1" customWidth="1"/>
    <col min="7430" max="7430" width="9.7109375" style="1" bestFit="1" customWidth="1"/>
    <col min="7431" max="7431" width="9.85546875" style="1" customWidth="1"/>
    <col min="7432" max="7432" width="10.28515625" style="1" customWidth="1"/>
    <col min="7433" max="7433" width="10.5703125" style="1" customWidth="1"/>
    <col min="7434" max="7434" width="8.28515625" style="1" customWidth="1"/>
    <col min="7435" max="7435" width="8.140625" style="1" customWidth="1"/>
    <col min="7436" max="7436" width="18" style="1" customWidth="1"/>
    <col min="7437" max="7682" width="9.140625" style="1"/>
    <col min="7683" max="7683" width="23.85546875" style="1" customWidth="1"/>
    <col min="7684" max="7684" width="9.28515625" style="1" bestFit="1" customWidth="1"/>
    <col min="7685" max="7685" width="9.5703125" style="1" bestFit="1" customWidth="1"/>
    <col min="7686" max="7686" width="9.7109375" style="1" bestFit="1" customWidth="1"/>
    <col min="7687" max="7687" width="9.85546875" style="1" customWidth="1"/>
    <col min="7688" max="7688" width="10.28515625" style="1" customWidth="1"/>
    <col min="7689" max="7689" width="10.5703125" style="1" customWidth="1"/>
    <col min="7690" max="7690" width="8.28515625" style="1" customWidth="1"/>
    <col min="7691" max="7691" width="8.140625" style="1" customWidth="1"/>
    <col min="7692" max="7692" width="18" style="1" customWidth="1"/>
    <col min="7693" max="7938" width="9.140625" style="1"/>
    <col min="7939" max="7939" width="23.85546875" style="1" customWidth="1"/>
    <col min="7940" max="7940" width="9.28515625" style="1" bestFit="1" customWidth="1"/>
    <col min="7941" max="7941" width="9.5703125" style="1" bestFit="1" customWidth="1"/>
    <col min="7942" max="7942" width="9.7109375" style="1" bestFit="1" customWidth="1"/>
    <col min="7943" max="7943" width="9.85546875" style="1" customWidth="1"/>
    <col min="7944" max="7944" width="10.28515625" style="1" customWidth="1"/>
    <col min="7945" max="7945" width="10.5703125" style="1" customWidth="1"/>
    <col min="7946" max="7946" width="8.28515625" style="1" customWidth="1"/>
    <col min="7947" max="7947" width="8.140625" style="1" customWidth="1"/>
    <col min="7948" max="7948" width="18" style="1" customWidth="1"/>
    <col min="7949" max="8194" width="9.140625" style="1"/>
    <col min="8195" max="8195" width="23.85546875" style="1" customWidth="1"/>
    <col min="8196" max="8196" width="9.28515625" style="1" bestFit="1" customWidth="1"/>
    <col min="8197" max="8197" width="9.5703125" style="1" bestFit="1" customWidth="1"/>
    <col min="8198" max="8198" width="9.7109375" style="1" bestFit="1" customWidth="1"/>
    <col min="8199" max="8199" width="9.85546875" style="1" customWidth="1"/>
    <col min="8200" max="8200" width="10.28515625" style="1" customWidth="1"/>
    <col min="8201" max="8201" width="10.5703125" style="1" customWidth="1"/>
    <col min="8202" max="8202" width="8.28515625" style="1" customWidth="1"/>
    <col min="8203" max="8203" width="8.140625" style="1" customWidth="1"/>
    <col min="8204" max="8204" width="18" style="1" customWidth="1"/>
    <col min="8205" max="8450" width="9.140625" style="1"/>
    <col min="8451" max="8451" width="23.85546875" style="1" customWidth="1"/>
    <col min="8452" max="8452" width="9.28515625" style="1" bestFit="1" customWidth="1"/>
    <col min="8453" max="8453" width="9.5703125" style="1" bestFit="1" customWidth="1"/>
    <col min="8454" max="8454" width="9.7109375" style="1" bestFit="1" customWidth="1"/>
    <col min="8455" max="8455" width="9.85546875" style="1" customWidth="1"/>
    <col min="8456" max="8456" width="10.28515625" style="1" customWidth="1"/>
    <col min="8457" max="8457" width="10.5703125" style="1" customWidth="1"/>
    <col min="8458" max="8458" width="8.28515625" style="1" customWidth="1"/>
    <col min="8459" max="8459" width="8.140625" style="1" customWidth="1"/>
    <col min="8460" max="8460" width="18" style="1" customWidth="1"/>
    <col min="8461" max="8706" width="9.140625" style="1"/>
    <col min="8707" max="8707" width="23.85546875" style="1" customWidth="1"/>
    <col min="8708" max="8708" width="9.28515625" style="1" bestFit="1" customWidth="1"/>
    <col min="8709" max="8709" width="9.5703125" style="1" bestFit="1" customWidth="1"/>
    <col min="8710" max="8710" width="9.7109375" style="1" bestFit="1" customWidth="1"/>
    <col min="8711" max="8711" width="9.85546875" style="1" customWidth="1"/>
    <col min="8712" max="8712" width="10.28515625" style="1" customWidth="1"/>
    <col min="8713" max="8713" width="10.5703125" style="1" customWidth="1"/>
    <col min="8714" max="8714" width="8.28515625" style="1" customWidth="1"/>
    <col min="8715" max="8715" width="8.140625" style="1" customWidth="1"/>
    <col min="8716" max="8716" width="18" style="1" customWidth="1"/>
    <col min="8717" max="8962" width="9.140625" style="1"/>
    <col min="8963" max="8963" width="23.85546875" style="1" customWidth="1"/>
    <col min="8964" max="8964" width="9.28515625" style="1" bestFit="1" customWidth="1"/>
    <col min="8965" max="8965" width="9.5703125" style="1" bestFit="1" customWidth="1"/>
    <col min="8966" max="8966" width="9.7109375" style="1" bestFit="1" customWidth="1"/>
    <col min="8967" max="8967" width="9.85546875" style="1" customWidth="1"/>
    <col min="8968" max="8968" width="10.28515625" style="1" customWidth="1"/>
    <col min="8969" max="8969" width="10.5703125" style="1" customWidth="1"/>
    <col min="8970" max="8970" width="8.28515625" style="1" customWidth="1"/>
    <col min="8971" max="8971" width="8.140625" style="1" customWidth="1"/>
    <col min="8972" max="8972" width="18" style="1" customWidth="1"/>
    <col min="8973" max="9218" width="9.140625" style="1"/>
    <col min="9219" max="9219" width="23.85546875" style="1" customWidth="1"/>
    <col min="9220" max="9220" width="9.28515625" style="1" bestFit="1" customWidth="1"/>
    <col min="9221" max="9221" width="9.5703125" style="1" bestFit="1" customWidth="1"/>
    <col min="9222" max="9222" width="9.7109375" style="1" bestFit="1" customWidth="1"/>
    <col min="9223" max="9223" width="9.85546875" style="1" customWidth="1"/>
    <col min="9224" max="9224" width="10.28515625" style="1" customWidth="1"/>
    <col min="9225" max="9225" width="10.5703125" style="1" customWidth="1"/>
    <col min="9226" max="9226" width="8.28515625" style="1" customWidth="1"/>
    <col min="9227" max="9227" width="8.140625" style="1" customWidth="1"/>
    <col min="9228" max="9228" width="18" style="1" customWidth="1"/>
    <col min="9229" max="9474" width="9.140625" style="1"/>
    <col min="9475" max="9475" width="23.85546875" style="1" customWidth="1"/>
    <col min="9476" max="9476" width="9.28515625" style="1" bestFit="1" customWidth="1"/>
    <col min="9477" max="9477" width="9.5703125" style="1" bestFit="1" customWidth="1"/>
    <col min="9478" max="9478" width="9.7109375" style="1" bestFit="1" customWidth="1"/>
    <col min="9479" max="9479" width="9.85546875" style="1" customWidth="1"/>
    <col min="9480" max="9480" width="10.28515625" style="1" customWidth="1"/>
    <col min="9481" max="9481" width="10.5703125" style="1" customWidth="1"/>
    <col min="9482" max="9482" width="8.28515625" style="1" customWidth="1"/>
    <col min="9483" max="9483" width="8.140625" style="1" customWidth="1"/>
    <col min="9484" max="9484" width="18" style="1" customWidth="1"/>
    <col min="9485" max="9730" width="9.140625" style="1"/>
    <col min="9731" max="9731" width="23.85546875" style="1" customWidth="1"/>
    <col min="9732" max="9732" width="9.28515625" style="1" bestFit="1" customWidth="1"/>
    <col min="9733" max="9733" width="9.5703125" style="1" bestFit="1" customWidth="1"/>
    <col min="9734" max="9734" width="9.7109375" style="1" bestFit="1" customWidth="1"/>
    <col min="9735" max="9735" width="9.85546875" style="1" customWidth="1"/>
    <col min="9736" max="9736" width="10.28515625" style="1" customWidth="1"/>
    <col min="9737" max="9737" width="10.5703125" style="1" customWidth="1"/>
    <col min="9738" max="9738" width="8.28515625" style="1" customWidth="1"/>
    <col min="9739" max="9739" width="8.140625" style="1" customWidth="1"/>
    <col min="9740" max="9740" width="18" style="1" customWidth="1"/>
    <col min="9741" max="9986" width="9.140625" style="1"/>
    <col min="9987" max="9987" width="23.85546875" style="1" customWidth="1"/>
    <col min="9988" max="9988" width="9.28515625" style="1" bestFit="1" customWidth="1"/>
    <col min="9989" max="9989" width="9.5703125" style="1" bestFit="1" customWidth="1"/>
    <col min="9990" max="9990" width="9.7109375" style="1" bestFit="1" customWidth="1"/>
    <col min="9991" max="9991" width="9.85546875" style="1" customWidth="1"/>
    <col min="9992" max="9992" width="10.28515625" style="1" customWidth="1"/>
    <col min="9993" max="9993" width="10.5703125" style="1" customWidth="1"/>
    <col min="9994" max="9994" width="8.28515625" style="1" customWidth="1"/>
    <col min="9995" max="9995" width="8.140625" style="1" customWidth="1"/>
    <col min="9996" max="9996" width="18" style="1" customWidth="1"/>
    <col min="9997" max="10242" width="9.140625" style="1"/>
    <col min="10243" max="10243" width="23.85546875" style="1" customWidth="1"/>
    <col min="10244" max="10244" width="9.28515625" style="1" bestFit="1" customWidth="1"/>
    <col min="10245" max="10245" width="9.5703125" style="1" bestFit="1" customWidth="1"/>
    <col min="10246" max="10246" width="9.7109375" style="1" bestFit="1" customWidth="1"/>
    <col min="10247" max="10247" width="9.85546875" style="1" customWidth="1"/>
    <col min="10248" max="10248" width="10.28515625" style="1" customWidth="1"/>
    <col min="10249" max="10249" width="10.5703125" style="1" customWidth="1"/>
    <col min="10250" max="10250" width="8.28515625" style="1" customWidth="1"/>
    <col min="10251" max="10251" width="8.140625" style="1" customWidth="1"/>
    <col min="10252" max="10252" width="18" style="1" customWidth="1"/>
    <col min="10253" max="10498" width="9.140625" style="1"/>
    <col min="10499" max="10499" width="23.85546875" style="1" customWidth="1"/>
    <col min="10500" max="10500" width="9.28515625" style="1" bestFit="1" customWidth="1"/>
    <col min="10501" max="10501" width="9.5703125" style="1" bestFit="1" customWidth="1"/>
    <col min="10502" max="10502" width="9.7109375" style="1" bestFit="1" customWidth="1"/>
    <col min="10503" max="10503" width="9.85546875" style="1" customWidth="1"/>
    <col min="10504" max="10504" width="10.28515625" style="1" customWidth="1"/>
    <col min="10505" max="10505" width="10.5703125" style="1" customWidth="1"/>
    <col min="10506" max="10506" width="8.28515625" style="1" customWidth="1"/>
    <col min="10507" max="10507" width="8.140625" style="1" customWidth="1"/>
    <col min="10508" max="10508" width="18" style="1" customWidth="1"/>
    <col min="10509" max="10754" width="9.140625" style="1"/>
    <col min="10755" max="10755" width="23.85546875" style="1" customWidth="1"/>
    <col min="10756" max="10756" width="9.28515625" style="1" bestFit="1" customWidth="1"/>
    <col min="10757" max="10757" width="9.5703125" style="1" bestFit="1" customWidth="1"/>
    <col min="10758" max="10758" width="9.7109375" style="1" bestFit="1" customWidth="1"/>
    <col min="10759" max="10759" width="9.85546875" style="1" customWidth="1"/>
    <col min="10760" max="10760" width="10.28515625" style="1" customWidth="1"/>
    <col min="10761" max="10761" width="10.5703125" style="1" customWidth="1"/>
    <col min="10762" max="10762" width="8.28515625" style="1" customWidth="1"/>
    <col min="10763" max="10763" width="8.140625" style="1" customWidth="1"/>
    <col min="10764" max="10764" width="18" style="1" customWidth="1"/>
    <col min="10765" max="11010" width="9.140625" style="1"/>
    <col min="11011" max="11011" width="23.85546875" style="1" customWidth="1"/>
    <col min="11012" max="11012" width="9.28515625" style="1" bestFit="1" customWidth="1"/>
    <col min="11013" max="11013" width="9.5703125" style="1" bestFit="1" customWidth="1"/>
    <col min="11014" max="11014" width="9.7109375" style="1" bestFit="1" customWidth="1"/>
    <col min="11015" max="11015" width="9.85546875" style="1" customWidth="1"/>
    <col min="11016" max="11016" width="10.28515625" style="1" customWidth="1"/>
    <col min="11017" max="11017" width="10.5703125" style="1" customWidth="1"/>
    <col min="11018" max="11018" width="8.28515625" style="1" customWidth="1"/>
    <col min="11019" max="11019" width="8.140625" style="1" customWidth="1"/>
    <col min="11020" max="11020" width="18" style="1" customWidth="1"/>
    <col min="11021" max="11266" width="9.140625" style="1"/>
    <col min="11267" max="11267" width="23.85546875" style="1" customWidth="1"/>
    <col min="11268" max="11268" width="9.28515625" style="1" bestFit="1" customWidth="1"/>
    <col min="11269" max="11269" width="9.5703125" style="1" bestFit="1" customWidth="1"/>
    <col min="11270" max="11270" width="9.7109375" style="1" bestFit="1" customWidth="1"/>
    <col min="11271" max="11271" width="9.85546875" style="1" customWidth="1"/>
    <col min="11272" max="11272" width="10.28515625" style="1" customWidth="1"/>
    <col min="11273" max="11273" width="10.5703125" style="1" customWidth="1"/>
    <col min="11274" max="11274" width="8.28515625" style="1" customWidth="1"/>
    <col min="11275" max="11275" width="8.140625" style="1" customWidth="1"/>
    <col min="11276" max="11276" width="18" style="1" customWidth="1"/>
    <col min="11277" max="11522" width="9.140625" style="1"/>
    <col min="11523" max="11523" width="23.85546875" style="1" customWidth="1"/>
    <col min="11524" max="11524" width="9.28515625" style="1" bestFit="1" customWidth="1"/>
    <col min="11525" max="11525" width="9.5703125" style="1" bestFit="1" customWidth="1"/>
    <col min="11526" max="11526" width="9.7109375" style="1" bestFit="1" customWidth="1"/>
    <col min="11527" max="11527" width="9.85546875" style="1" customWidth="1"/>
    <col min="11528" max="11528" width="10.28515625" style="1" customWidth="1"/>
    <col min="11529" max="11529" width="10.5703125" style="1" customWidth="1"/>
    <col min="11530" max="11530" width="8.28515625" style="1" customWidth="1"/>
    <col min="11531" max="11531" width="8.140625" style="1" customWidth="1"/>
    <col min="11532" max="11532" width="18" style="1" customWidth="1"/>
    <col min="11533" max="11778" width="9.140625" style="1"/>
    <col min="11779" max="11779" width="23.85546875" style="1" customWidth="1"/>
    <col min="11780" max="11780" width="9.28515625" style="1" bestFit="1" customWidth="1"/>
    <col min="11781" max="11781" width="9.5703125" style="1" bestFit="1" customWidth="1"/>
    <col min="11782" max="11782" width="9.7109375" style="1" bestFit="1" customWidth="1"/>
    <col min="11783" max="11783" width="9.85546875" style="1" customWidth="1"/>
    <col min="11784" max="11784" width="10.28515625" style="1" customWidth="1"/>
    <col min="11785" max="11785" width="10.5703125" style="1" customWidth="1"/>
    <col min="11786" max="11786" width="8.28515625" style="1" customWidth="1"/>
    <col min="11787" max="11787" width="8.140625" style="1" customWidth="1"/>
    <col min="11788" max="11788" width="18" style="1" customWidth="1"/>
    <col min="11789" max="12034" width="9.140625" style="1"/>
    <col min="12035" max="12035" width="23.85546875" style="1" customWidth="1"/>
    <col min="12036" max="12036" width="9.28515625" style="1" bestFit="1" customWidth="1"/>
    <col min="12037" max="12037" width="9.5703125" style="1" bestFit="1" customWidth="1"/>
    <col min="12038" max="12038" width="9.7109375" style="1" bestFit="1" customWidth="1"/>
    <col min="12039" max="12039" width="9.85546875" style="1" customWidth="1"/>
    <col min="12040" max="12040" width="10.28515625" style="1" customWidth="1"/>
    <col min="12041" max="12041" width="10.5703125" style="1" customWidth="1"/>
    <col min="12042" max="12042" width="8.28515625" style="1" customWidth="1"/>
    <col min="12043" max="12043" width="8.140625" style="1" customWidth="1"/>
    <col min="12044" max="12044" width="18" style="1" customWidth="1"/>
    <col min="12045" max="12290" width="9.140625" style="1"/>
    <col min="12291" max="12291" width="23.85546875" style="1" customWidth="1"/>
    <col min="12292" max="12292" width="9.28515625" style="1" bestFit="1" customWidth="1"/>
    <col min="12293" max="12293" width="9.5703125" style="1" bestFit="1" customWidth="1"/>
    <col min="12294" max="12294" width="9.7109375" style="1" bestFit="1" customWidth="1"/>
    <col min="12295" max="12295" width="9.85546875" style="1" customWidth="1"/>
    <col min="12296" max="12296" width="10.28515625" style="1" customWidth="1"/>
    <col min="12297" max="12297" width="10.5703125" style="1" customWidth="1"/>
    <col min="12298" max="12298" width="8.28515625" style="1" customWidth="1"/>
    <col min="12299" max="12299" width="8.140625" style="1" customWidth="1"/>
    <col min="12300" max="12300" width="18" style="1" customWidth="1"/>
    <col min="12301" max="12546" width="9.140625" style="1"/>
    <col min="12547" max="12547" width="23.85546875" style="1" customWidth="1"/>
    <col min="12548" max="12548" width="9.28515625" style="1" bestFit="1" customWidth="1"/>
    <col min="12549" max="12549" width="9.5703125" style="1" bestFit="1" customWidth="1"/>
    <col min="12550" max="12550" width="9.7109375" style="1" bestFit="1" customWidth="1"/>
    <col min="12551" max="12551" width="9.85546875" style="1" customWidth="1"/>
    <col min="12552" max="12552" width="10.28515625" style="1" customWidth="1"/>
    <col min="12553" max="12553" width="10.5703125" style="1" customWidth="1"/>
    <col min="12554" max="12554" width="8.28515625" style="1" customWidth="1"/>
    <col min="12555" max="12555" width="8.140625" style="1" customWidth="1"/>
    <col min="12556" max="12556" width="18" style="1" customWidth="1"/>
    <col min="12557" max="12802" width="9.140625" style="1"/>
    <col min="12803" max="12803" width="23.85546875" style="1" customWidth="1"/>
    <col min="12804" max="12804" width="9.28515625" style="1" bestFit="1" customWidth="1"/>
    <col min="12805" max="12805" width="9.5703125" style="1" bestFit="1" customWidth="1"/>
    <col min="12806" max="12806" width="9.7109375" style="1" bestFit="1" customWidth="1"/>
    <col min="12807" max="12807" width="9.85546875" style="1" customWidth="1"/>
    <col min="12808" max="12808" width="10.28515625" style="1" customWidth="1"/>
    <col min="12809" max="12809" width="10.5703125" style="1" customWidth="1"/>
    <col min="12810" max="12810" width="8.28515625" style="1" customWidth="1"/>
    <col min="12811" max="12811" width="8.140625" style="1" customWidth="1"/>
    <col min="12812" max="12812" width="18" style="1" customWidth="1"/>
    <col min="12813" max="13058" width="9.140625" style="1"/>
    <col min="13059" max="13059" width="23.85546875" style="1" customWidth="1"/>
    <col min="13060" max="13060" width="9.28515625" style="1" bestFit="1" customWidth="1"/>
    <col min="13061" max="13061" width="9.5703125" style="1" bestFit="1" customWidth="1"/>
    <col min="13062" max="13062" width="9.7109375" style="1" bestFit="1" customWidth="1"/>
    <col min="13063" max="13063" width="9.85546875" style="1" customWidth="1"/>
    <col min="13064" max="13064" width="10.28515625" style="1" customWidth="1"/>
    <col min="13065" max="13065" width="10.5703125" style="1" customWidth="1"/>
    <col min="13066" max="13066" width="8.28515625" style="1" customWidth="1"/>
    <col min="13067" max="13067" width="8.140625" style="1" customWidth="1"/>
    <col min="13068" max="13068" width="18" style="1" customWidth="1"/>
    <col min="13069" max="13314" width="9.140625" style="1"/>
    <col min="13315" max="13315" width="23.85546875" style="1" customWidth="1"/>
    <col min="13316" max="13316" width="9.28515625" style="1" bestFit="1" customWidth="1"/>
    <col min="13317" max="13317" width="9.5703125" style="1" bestFit="1" customWidth="1"/>
    <col min="13318" max="13318" width="9.7109375" style="1" bestFit="1" customWidth="1"/>
    <col min="13319" max="13319" width="9.85546875" style="1" customWidth="1"/>
    <col min="13320" max="13320" width="10.28515625" style="1" customWidth="1"/>
    <col min="13321" max="13321" width="10.5703125" style="1" customWidth="1"/>
    <col min="13322" max="13322" width="8.28515625" style="1" customWidth="1"/>
    <col min="13323" max="13323" width="8.140625" style="1" customWidth="1"/>
    <col min="13324" max="13324" width="18" style="1" customWidth="1"/>
    <col min="13325" max="13570" width="9.140625" style="1"/>
    <col min="13571" max="13571" width="23.85546875" style="1" customWidth="1"/>
    <col min="13572" max="13572" width="9.28515625" style="1" bestFit="1" customWidth="1"/>
    <col min="13573" max="13573" width="9.5703125" style="1" bestFit="1" customWidth="1"/>
    <col min="13574" max="13574" width="9.7109375" style="1" bestFit="1" customWidth="1"/>
    <col min="13575" max="13575" width="9.85546875" style="1" customWidth="1"/>
    <col min="13576" max="13576" width="10.28515625" style="1" customWidth="1"/>
    <col min="13577" max="13577" width="10.5703125" style="1" customWidth="1"/>
    <col min="13578" max="13578" width="8.28515625" style="1" customWidth="1"/>
    <col min="13579" max="13579" width="8.140625" style="1" customWidth="1"/>
    <col min="13580" max="13580" width="18" style="1" customWidth="1"/>
    <col min="13581" max="13826" width="9.140625" style="1"/>
    <col min="13827" max="13827" width="23.85546875" style="1" customWidth="1"/>
    <col min="13828" max="13828" width="9.28515625" style="1" bestFit="1" customWidth="1"/>
    <col min="13829" max="13829" width="9.5703125" style="1" bestFit="1" customWidth="1"/>
    <col min="13830" max="13830" width="9.7109375" style="1" bestFit="1" customWidth="1"/>
    <col min="13831" max="13831" width="9.85546875" style="1" customWidth="1"/>
    <col min="13832" max="13832" width="10.28515625" style="1" customWidth="1"/>
    <col min="13833" max="13833" width="10.5703125" style="1" customWidth="1"/>
    <col min="13834" max="13834" width="8.28515625" style="1" customWidth="1"/>
    <col min="13835" max="13835" width="8.140625" style="1" customWidth="1"/>
    <col min="13836" max="13836" width="18" style="1" customWidth="1"/>
    <col min="13837" max="14082" width="9.140625" style="1"/>
    <col min="14083" max="14083" width="23.85546875" style="1" customWidth="1"/>
    <col min="14084" max="14084" width="9.28515625" style="1" bestFit="1" customWidth="1"/>
    <col min="14085" max="14085" width="9.5703125" style="1" bestFit="1" customWidth="1"/>
    <col min="14086" max="14086" width="9.7109375" style="1" bestFit="1" customWidth="1"/>
    <col min="14087" max="14087" width="9.85546875" style="1" customWidth="1"/>
    <col min="14088" max="14088" width="10.28515625" style="1" customWidth="1"/>
    <col min="14089" max="14089" width="10.5703125" style="1" customWidth="1"/>
    <col min="14090" max="14090" width="8.28515625" style="1" customWidth="1"/>
    <col min="14091" max="14091" width="8.140625" style="1" customWidth="1"/>
    <col min="14092" max="14092" width="18" style="1" customWidth="1"/>
    <col min="14093" max="14338" width="9.140625" style="1"/>
    <col min="14339" max="14339" width="23.85546875" style="1" customWidth="1"/>
    <col min="14340" max="14340" width="9.28515625" style="1" bestFit="1" customWidth="1"/>
    <col min="14341" max="14341" width="9.5703125" style="1" bestFit="1" customWidth="1"/>
    <col min="14342" max="14342" width="9.7109375" style="1" bestFit="1" customWidth="1"/>
    <col min="14343" max="14343" width="9.85546875" style="1" customWidth="1"/>
    <col min="14344" max="14344" width="10.28515625" style="1" customWidth="1"/>
    <col min="14345" max="14345" width="10.5703125" style="1" customWidth="1"/>
    <col min="14346" max="14346" width="8.28515625" style="1" customWidth="1"/>
    <col min="14347" max="14347" width="8.140625" style="1" customWidth="1"/>
    <col min="14348" max="14348" width="18" style="1" customWidth="1"/>
    <col min="14349" max="14594" width="9.140625" style="1"/>
    <col min="14595" max="14595" width="23.85546875" style="1" customWidth="1"/>
    <col min="14596" max="14596" width="9.28515625" style="1" bestFit="1" customWidth="1"/>
    <col min="14597" max="14597" width="9.5703125" style="1" bestFit="1" customWidth="1"/>
    <col min="14598" max="14598" width="9.7109375" style="1" bestFit="1" customWidth="1"/>
    <col min="14599" max="14599" width="9.85546875" style="1" customWidth="1"/>
    <col min="14600" max="14600" width="10.28515625" style="1" customWidth="1"/>
    <col min="14601" max="14601" width="10.5703125" style="1" customWidth="1"/>
    <col min="14602" max="14602" width="8.28515625" style="1" customWidth="1"/>
    <col min="14603" max="14603" width="8.140625" style="1" customWidth="1"/>
    <col min="14604" max="14604" width="18" style="1" customWidth="1"/>
    <col min="14605" max="14850" width="9.140625" style="1"/>
    <col min="14851" max="14851" width="23.85546875" style="1" customWidth="1"/>
    <col min="14852" max="14852" width="9.28515625" style="1" bestFit="1" customWidth="1"/>
    <col min="14853" max="14853" width="9.5703125" style="1" bestFit="1" customWidth="1"/>
    <col min="14854" max="14854" width="9.7109375" style="1" bestFit="1" customWidth="1"/>
    <col min="14855" max="14855" width="9.85546875" style="1" customWidth="1"/>
    <col min="14856" max="14856" width="10.28515625" style="1" customWidth="1"/>
    <col min="14857" max="14857" width="10.5703125" style="1" customWidth="1"/>
    <col min="14858" max="14858" width="8.28515625" style="1" customWidth="1"/>
    <col min="14859" max="14859" width="8.140625" style="1" customWidth="1"/>
    <col min="14860" max="14860" width="18" style="1" customWidth="1"/>
    <col min="14861" max="15106" width="9.140625" style="1"/>
    <col min="15107" max="15107" width="23.85546875" style="1" customWidth="1"/>
    <col min="15108" max="15108" width="9.28515625" style="1" bestFit="1" customWidth="1"/>
    <col min="15109" max="15109" width="9.5703125" style="1" bestFit="1" customWidth="1"/>
    <col min="15110" max="15110" width="9.7109375" style="1" bestFit="1" customWidth="1"/>
    <col min="15111" max="15111" width="9.85546875" style="1" customWidth="1"/>
    <col min="15112" max="15112" width="10.28515625" style="1" customWidth="1"/>
    <col min="15113" max="15113" width="10.5703125" style="1" customWidth="1"/>
    <col min="15114" max="15114" width="8.28515625" style="1" customWidth="1"/>
    <col min="15115" max="15115" width="8.140625" style="1" customWidth="1"/>
    <col min="15116" max="15116" width="18" style="1" customWidth="1"/>
    <col min="15117" max="15362" width="9.140625" style="1"/>
    <col min="15363" max="15363" width="23.85546875" style="1" customWidth="1"/>
    <col min="15364" max="15364" width="9.28515625" style="1" bestFit="1" customWidth="1"/>
    <col min="15365" max="15365" width="9.5703125" style="1" bestFit="1" customWidth="1"/>
    <col min="15366" max="15366" width="9.7109375" style="1" bestFit="1" customWidth="1"/>
    <col min="15367" max="15367" width="9.85546875" style="1" customWidth="1"/>
    <col min="15368" max="15368" width="10.28515625" style="1" customWidth="1"/>
    <col min="15369" max="15369" width="10.5703125" style="1" customWidth="1"/>
    <col min="15370" max="15370" width="8.28515625" style="1" customWidth="1"/>
    <col min="15371" max="15371" width="8.140625" style="1" customWidth="1"/>
    <col min="15372" max="15372" width="18" style="1" customWidth="1"/>
    <col min="15373" max="15618" width="9.140625" style="1"/>
    <col min="15619" max="15619" width="23.85546875" style="1" customWidth="1"/>
    <col min="15620" max="15620" width="9.28515625" style="1" bestFit="1" customWidth="1"/>
    <col min="15621" max="15621" width="9.5703125" style="1" bestFit="1" customWidth="1"/>
    <col min="15622" max="15622" width="9.7109375" style="1" bestFit="1" customWidth="1"/>
    <col min="15623" max="15623" width="9.85546875" style="1" customWidth="1"/>
    <col min="15624" max="15624" width="10.28515625" style="1" customWidth="1"/>
    <col min="15625" max="15625" width="10.5703125" style="1" customWidth="1"/>
    <col min="15626" max="15626" width="8.28515625" style="1" customWidth="1"/>
    <col min="15627" max="15627" width="8.140625" style="1" customWidth="1"/>
    <col min="15628" max="15628" width="18" style="1" customWidth="1"/>
    <col min="15629" max="15874" width="9.140625" style="1"/>
    <col min="15875" max="15875" width="23.85546875" style="1" customWidth="1"/>
    <col min="15876" max="15876" width="9.28515625" style="1" bestFit="1" customWidth="1"/>
    <col min="15877" max="15877" width="9.5703125" style="1" bestFit="1" customWidth="1"/>
    <col min="15878" max="15878" width="9.7109375" style="1" bestFit="1" customWidth="1"/>
    <col min="15879" max="15879" width="9.85546875" style="1" customWidth="1"/>
    <col min="15880" max="15880" width="10.28515625" style="1" customWidth="1"/>
    <col min="15881" max="15881" width="10.5703125" style="1" customWidth="1"/>
    <col min="15882" max="15882" width="8.28515625" style="1" customWidth="1"/>
    <col min="15883" max="15883" width="8.140625" style="1" customWidth="1"/>
    <col min="15884" max="15884" width="18" style="1" customWidth="1"/>
    <col min="15885" max="16130" width="9.140625" style="1"/>
    <col min="16131" max="16131" width="23.85546875" style="1" customWidth="1"/>
    <col min="16132" max="16132" width="9.28515625" style="1" bestFit="1" customWidth="1"/>
    <col min="16133" max="16133" width="9.5703125" style="1" bestFit="1" customWidth="1"/>
    <col min="16134" max="16134" width="9.7109375" style="1" bestFit="1" customWidth="1"/>
    <col min="16135" max="16135" width="9.85546875" style="1" customWidth="1"/>
    <col min="16136" max="16136" width="10.28515625" style="1" customWidth="1"/>
    <col min="16137" max="16137" width="10.5703125" style="1" customWidth="1"/>
    <col min="16138" max="16138" width="8.28515625" style="1" customWidth="1"/>
    <col min="16139" max="16139" width="8.140625" style="1" customWidth="1"/>
    <col min="16140" max="16140" width="18" style="1" customWidth="1"/>
    <col min="16141" max="16384" width="9.140625" style="1"/>
  </cols>
  <sheetData>
    <row r="1" spans="1:20" ht="18" x14ac:dyDescent="0.2">
      <c r="A1" s="216" t="s">
        <v>92</v>
      </c>
      <c r="B1" s="217"/>
      <c r="C1" s="217"/>
      <c r="D1" s="48"/>
      <c r="E1" s="48"/>
      <c r="F1" s="48"/>
      <c r="G1" s="48"/>
      <c r="H1" s="155"/>
    </row>
    <row r="2" spans="1:20" ht="18" x14ac:dyDescent="0.25">
      <c r="A2" s="49" t="s">
        <v>60</v>
      </c>
      <c r="C2" s="50"/>
      <c r="D2" s="50"/>
      <c r="E2" s="50"/>
      <c r="F2" s="50"/>
      <c r="G2" s="50"/>
      <c r="H2" s="50"/>
      <c r="I2" s="2"/>
    </row>
    <row r="3" spans="1:20" ht="18" x14ac:dyDescent="0.2">
      <c r="A3" s="49" t="s">
        <v>61</v>
      </c>
      <c r="I3" s="184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</row>
    <row r="4" spans="1:20" ht="15" x14ac:dyDescent="0.25">
      <c r="H4"/>
      <c r="I4" s="184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6"/>
    </row>
    <row r="5" spans="1:20" ht="18" x14ac:dyDescent="0.25">
      <c r="A5" s="49" t="s">
        <v>57</v>
      </c>
      <c r="C5" s="44">
        <v>1000</v>
      </c>
      <c r="H5"/>
      <c r="I5"/>
      <c r="J5"/>
      <c r="L5"/>
      <c r="M5"/>
      <c r="N5"/>
      <c r="O5"/>
      <c r="P5"/>
      <c r="Q5"/>
    </row>
    <row r="6" spans="1:20" ht="18" x14ac:dyDescent="0.25">
      <c r="A6" s="49"/>
      <c r="B6" s="45">
        <v>1282</v>
      </c>
      <c r="G6" s="260"/>
      <c r="H6" s="261"/>
      <c r="I6"/>
      <c r="J6"/>
      <c r="K6"/>
      <c r="L6"/>
      <c r="M6"/>
      <c r="N6"/>
      <c r="O6"/>
      <c r="P6"/>
      <c r="Q6"/>
    </row>
    <row r="7" spans="1:20" ht="18" x14ac:dyDescent="0.25">
      <c r="A7" s="152" t="s">
        <v>75</v>
      </c>
      <c r="B7" s="3"/>
      <c r="I7"/>
      <c r="J7"/>
      <c r="K7"/>
      <c r="L7"/>
      <c r="M7"/>
      <c r="N7"/>
      <c r="O7"/>
      <c r="P7"/>
      <c r="Q7"/>
    </row>
    <row r="8" spans="1:20" ht="15" x14ac:dyDescent="0.25">
      <c r="A8" s="45" t="s">
        <v>76</v>
      </c>
      <c r="B8" s="255">
        <f>D33</f>
        <v>28.785</v>
      </c>
      <c r="H8" s="258"/>
      <c r="I8"/>
      <c r="J8"/>
      <c r="K8"/>
      <c r="L8"/>
      <c r="M8"/>
      <c r="N8"/>
      <c r="O8"/>
      <c r="P8"/>
      <c r="Q8"/>
    </row>
    <row r="9" spans="1:20" ht="15.75" thickBot="1" x14ac:dyDescent="0.3">
      <c r="A9" s="47" t="s">
        <v>34</v>
      </c>
      <c r="E9" s="130"/>
      <c r="F9" s="130"/>
      <c r="G9" s="130"/>
      <c r="H9" s="95"/>
      <c r="I9"/>
      <c r="J9"/>
      <c r="K9"/>
      <c r="L9"/>
      <c r="M9"/>
      <c r="N9"/>
      <c r="O9"/>
      <c r="P9"/>
      <c r="Q9"/>
    </row>
    <row r="10" spans="1:20" ht="18.75" customHeight="1" thickBot="1" x14ac:dyDescent="0.25">
      <c r="A10" s="275" t="s">
        <v>0</v>
      </c>
      <c r="B10" s="84" t="s">
        <v>1</v>
      </c>
      <c r="C10" s="268" t="s">
        <v>2</v>
      </c>
      <c r="D10" s="85" t="s">
        <v>46</v>
      </c>
      <c r="E10" s="86" t="s">
        <v>64</v>
      </c>
      <c r="F10" s="86" t="s">
        <v>62</v>
      </c>
      <c r="G10" s="86" t="s">
        <v>58</v>
      </c>
      <c r="I10" s="148"/>
      <c r="J10" s="147" t="s">
        <v>70</v>
      </c>
      <c r="K10" s="147" t="s">
        <v>72</v>
      </c>
      <c r="L10" s="94"/>
      <c r="M10" s="148"/>
      <c r="N10" s="124" t="s">
        <v>50</v>
      </c>
    </row>
    <row r="11" spans="1:20" ht="18.75" customHeight="1" thickBot="1" x14ac:dyDescent="0.25">
      <c r="A11" s="276"/>
      <c r="B11" s="87" t="s">
        <v>3</v>
      </c>
      <c r="C11" s="269"/>
      <c r="D11" s="55" t="s">
        <v>3</v>
      </c>
      <c r="E11" s="88" t="s">
        <v>48</v>
      </c>
      <c r="F11" s="88" t="s">
        <v>48</v>
      </c>
      <c r="G11" s="88" t="s">
        <v>48</v>
      </c>
      <c r="I11" s="149"/>
      <c r="J11" s="147" t="s">
        <v>71</v>
      </c>
      <c r="K11" s="147" t="s">
        <v>71</v>
      </c>
      <c r="L11" s="94"/>
      <c r="M11" s="149"/>
      <c r="N11" s="121" t="s">
        <v>48</v>
      </c>
    </row>
    <row r="12" spans="1:20" ht="16.5" customHeight="1" x14ac:dyDescent="0.2">
      <c r="A12" s="136" t="s">
        <v>93</v>
      </c>
      <c r="B12" s="114">
        <f>1.168</f>
        <v>1.1679999999999999</v>
      </c>
      <c r="C12" s="115">
        <v>1</v>
      </c>
      <c r="D12" s="116">
        <f t="shared" ref="D12:D13" si="0">B12*C12</f>
        <v>1.1679999999999999</v>
      </c>
      <c r="E12" s="252">
        <f>(0.146*2)*0.1*0.008*7850*C12</f>
        <v>1.8337600000000001</v>
      </c>
      <c r="F12" s="119">
        <f>(1.168+1.154+0.19+0.935)*0.05*0.008*7850*C12</f>
        <v>10.823580000000002</v>
      </c>
      <c r="G12" s="120">
        <f>(1.225+1.285*8)*0.04*0.006*7850*C12</f>
        <v>21.675419999999999</v>
      </c>
      <c r="H12" s="259"/>
      <c r="I12" s="136"/>
      <c r="J12" s="158">
        <v>2</v>
      </c>
      <c r="K12" s="158"/>
      <c r="L12" s="130"/>
      <c r="M12" s="136" t="s">
        <v>93</v>
      </c>
      <c r="N12" s="166">
        <f>(0+(0.12+0.116+0.117)+0.095*2*9+0.09*2)*0.25</f>
        <v>0.56074999999999997</v>
      </c>
      <c r="Q12" s="118"/>
    </row>
    <row r="13" spans="1:20" ht="15" customHeight="1" x14ac:dyDescent="0.2">
      <c r="A13" s="136" t="s">
        <v>94</v>
      </c>
      <c r="B13" s="114">
        <f>0.319+0.161</f>
        <v>0.48</v>
      </c>
      <c r="C13" s="138">
        <v>1</v>
      </c>
      <c r="D13" s="139">
        <f t="shared" si="0"/>
        <v>0.48</v>
      </c>
      <c r="E13" s="252">
        <f>(0.146*2)*0.1*0.008*7850*C13</f>
        <v>1.8337600000000001</v>
      </c>
      <c r="F13" s="119">
        <f>(0.313+0.989+0.162+1.291)*0.05*0.008*7850*C13</f>
        <v>8.6507000000000005</v>
      </c>
      <c r="G13" s="125">
        <f>(1.285*3+1.152+1.01+0.868+0.726+0.584+0.442+0.3)*0.04*0.006*7850*C13</f>
        <v>16.837308000000004</v>
      </c>
      <c r="I13" s="136"/>
      <c r="J13" s="150">
        <v>2</v>
      </c>
      <c r="K13" s="150"/>
      <c r="L13" s="130"/>
      <c r="M13" s="136" t="s">
        <v>94</v>
      </c>
      <c r="N13" s="251">
        <f>((0.348+0.008*2)*2+(0.117+0.12+0.118)+0.095*2*10)*0.25</f>
        <v>0.74574999999999991</v>
      </c>
    </row>
    <row r="14" spans="1:20" ht="14.25" customHeight="1" x14ac:dyDescent="0.2">
      <c r="A14" s="136" t="s">
        <v>95</v>
      </c>
      <c r="B14" s="114">
        <v>1.161</v>
      </c>
      <c r="C14" s="138">
        <v>1</v>
      </c>
      <c r="D14" s="139">
        <f>B14*C14</f>
        <v>1.161</v>
      </c>
      <c r="E14" s="252">
        <f t="shared" ref="E14:E21" si="1">(0.146*2)*0.1*0.008*7850*C14</f>
        <v>1.8337600000000001</v>
      </c>
      <c r="F14" s="119">
        <f>(1.161*2+1.277)*0.05*0.008*7850*C14</f>
        <v>11.300860000000002</v>
      </c>
      <c r="G14" s="125">
        <f>(1.275*9)*0.04*0.006*7850*C14</f>
        <v>21.618900000000004</v>
      </c>
      <c r="H14" s="131"/>
      <c r="I14" s="136"/>
      <c r="J14" s="150">
        <v>2</v>
      </c>
      <c r="K14" s="151"/>
      <c r="L14" s="117"/>
      <c r="M14" s="136" t="s">
        <v>95</v>
      </c>
      <c r="N14" s="137">
        <f>((0.348+0.008*2)*2+(0.12*2)+0.095*2*11+0.09*2)*0.25</f>
        <v>0.8095</v>
      </c>
    </row>
    <row r="15" spans="1:20" ht="15" customHeight="1" x14ac:dyDescent="0.2">
      <c r="A15" s="136" t="s">
        <v>96</v>
      </c>
      <c r="B15" s="114">
        <f>0.319+0.174</f>
        <v>0.49299999999999999</v>
      </c>
      <c r="C15" s="138">
        <v>1</v>
      </c>
      <c r="D15" s="139">
        <f>B15*C15</f>
        <v>0.49299999999999999</v>
      </c>
      <c r="E15" s="252">
        <f t="shared" si="1"/>
        <v>1.8337600000000001</v>
      </c>
      <c r="F15" s="119">
        <f>(1.403+1.109+0.313)*0.05*0.008*7850*C15</f>
        <v>8.8705000000000016</v>
      </c>
      <c r="G15" s="125">
        <f>(0.143+0.286+0.429+0.572+0.715+0.8574+1+1.135+1.205+1.275*2)*0.04*0.006*7850*C15</f>
        <v>16.753281599999998</v>
      </c>
      <c r="H15" s="131"/>
      <c r="I15" s="136"/>
      <c r="J15" s="150">
        <v>2</v>
      </c>
      <c r="K15" s="151"/>
      <c r="L15" s="117"/>
      <c r="M15" s="136" t="s">
        <v>96</v>
      </c>
      <c r="N15" s="119">
        <f>((0.348+0.008*2)*2+(0.117+0.12*2)+0.095*2*10)*0.25</f>
        <v>0.74624999999999997</v>
      </c>
    </row>
    <row r="16" spans="1:20" ht="14.25" customHeight="1" x14ac:dyDescent="0.2">
      <c r="A16" s="136" t="s">
        <v>97</v>
      </c>
      <c r="B16" s="114">
        <v>1.4550000000000001</v>
      </c>
      <c r="C16" s="138">
        <v>1</v>
      </c>
      <c r="D16" s="139">
        <f t="shared" ref="D16:D32" si="2">B16*C16</f>
        <v>1.4550000000000001</v>
      </c>
      <c r="E16" s="252">
        <f t="shared" si="1"/>
        <v>1.8337600000000001</v>
      </c>
      <c r="F16" s="119">
        <f>(1.455*2+1.287)*0.05*0.008*7850*C16</f>
        <v>13.17858</v>
      </c>
      <c r="G16" s="125">
        <f>(1.275*11)*0.04*0.006*7850*C16</f>
        <v>26.423099999999998</v>
      </c>
      <c r="H16" s="218"/>
      <c r="I16" s="136"/>
      <c r="J16" s="150">
        <v>2</v>
      </c>
      <c r="K16" s="151"/>
      <c r="L16" s="11"/>
      <c r="M16" s="136" t="s">
        <v>97</v>
      </c>
      <c r="N16" s="119">
        <f>((0.348+0.008*2)*2+0.12*2+0.095*2*11+0.09*2)*0.25</f>
        <v>0.8095</v>
      </c>
    </row>
    <row r="17" spans="1:17" ht="14.25" customHeight="1" x14ac:dyDescent="0.2">
      <c r="A17" s="136" t="s">
        <v>98</v>
      </c>
      <c r="B17" s="114">
        <f>0.369+0.146</f>
        <v>0.51500000000000001</v>
      </c>
      <c r="C17" s="138">
        <v>1</v>
      </c>
      <c r="D17" s="139">
        <f t="shared" si="2"/>
        <v>0.51500000000000001</v>
      </c>
      <c r="E17" s="252">
        <f t="shared" si="1"/>
        <v>1.8337600000000001</v>
      </c>
      <c r="F17" s="119">
        <f>(0.363+0.976+0.1504+1.335)*0.05*0.008*7850*C17</f>
        <v>8.8686159999999994</v>
      </c>
      <c r="G17" s="125">
        <f>(1.285*3+1.193+1.044+0.895+0.746+0.597+0.448+0.2994)*0.04*0.006*7850*C17</f>
        <v>17.101821600000001</v>
      </c>
      <c r="H17" s="218"/>
      <c r="I17" s="136"/>
      <c r="J17" s="173">
        <v>2</v>
      </c>
      <c r="K17" s="174"/>
      <c r="L17" s="11"/>
      <c r="M17" s="136" t="s">
        <v>98</v>
      </c>
      <c r="N17" s="137">
        <f>((0.348+0.008*2)*2+(0.117+0.12*2)+0.095*2*10)*0.25</f>
        <v>0.74624999999999997</v>
      </c>
      <c r="P17" s="1">
        <f>9.93*2+50*2</f>
        <v>119.86</v>
      </c>
      <c r="Q17" s="1">
        <f>9.904*2+50*2</f>
        <v>119.80799999999999</v>
      </c>
    </row>
    <row r="18" spans="1:17" ht="14.25" customHeight="1" x14ac:dyDescent="0.2">
      <c r="A18" s="136" t="s">
        <v>99</v>
      </c>
      <c r="B18" s="114">
        <v>1.1739999999999999</v>
      </c>
      <c r="C18" s="138">
        <v>1</v>
      </c>
      <c r="D18" s="139">
        <f t="shared" si="2"/>
        <v>1.1739999999999999</v>
      </c>
      <c r="E18" s="252">
        <f t="shared" si="1"/>
        <v>1.8337600000000001</v>
      </c>
      <c r="F18" s="119">
        <f>(1.174+1.287+1.174)*0.05*0.008*7850*C18</f>
        <v>11.4139</v>
      </c>
      <c r="G18" s="125">
        <f>(1.285*9)*0.04*0.006*7850*C18</f>
        <v>21.788460000000001</v>
      </c>
      <c r="H18" s="218"/>
      <c r="I18" s="136"/>
      <c r="J18" s="173">
        <v>2</v>
      </c>
      <c r="K18" s="174"/>
      <c r="L18" s="11"/>
      <c r="M18" s="136" t="s">
        <v>99</v>
      </c>
      <c r="N18" s="137">
        <f>((0.348+0.008*2)*2+(0.12*2)+0.095*2*9+0.09*2)*0.25</f>
        <v>0.71450000000000002</v>
      </c>
      <c r="P18" s="1">
        <f>7.43*2+40*2</f>
        <v>94.86</v>
      </c>
    </row>
    <row r="19" spans="1:17" ht="14.25" customHeight="1" x14ac:dyDescent="0.2">
      <c r="A19" s="136" t="s">
        <v>100</v>
      </c>
      <c r="B19" s="114">
        <f>0.171+0.322</f>
        <v>0.49299999999999999</v>
      </c>
      <c r="C19" s="138">
        <v>1</v>
      </c>
      <c r="D19" s="139">
        <f t="shared" si="2"/>
        <v>0.49299999999999999</v>
      </c>
      <c r="E19" s="252">
        <f t="shared" si="1"/>
        <v>1.8337600000000001</v>
      </c>
      <c r="F19" s="119">
        <f>(1.419+1.105+0.316)*0.05*0.008*7850*C19</f>
        <v>8.9175999999999984</v>
      </c>
      <c r="G19" s="125">
        <f>(0.144+0.288+0.432+0.72+0.8634+1.007+1.151+1.285*3)*0.04*0.006*7850*C19</f>
        <v>15.939393600000001</v>
      </c>
      <c r="H19" s="218"/>
      <c r="I19" s="136"/>
      <c r="J19" s="173">
        <v>2</v>
      </c>
      <c r="K19" s="174"/>
      <c r="L19" s="11"/>
      <c r="M19" s="136" t="s">
        <v>100</v>
      </c>
      <c r="N19" s="137">
        <f>((0.348+0.008*2)*2+(0.117*2)+0.095*2*11)*0.25</f>
        <v>0.7629999999999999</v>
      </c>
    </row>
    <row r="20" spans="1:17" ht="14.25" customHeight="1" x14ac:dyDescent="0.2">
      <c r="A20" s="136" t="s">
        <v>101</v>
      </c>
      <c r="B20" s="114">
        <v>1.4430000000000001</v>
      </c>
      <c r="C20" s="138">
        <v>1</v>
      </c>
      <c r="D20" s="139">
        <f t="shared" si="2"/>
        <v>1.4430000000000001</v>
      </c>
      <c r="E20" s="252">
        <f t="shared" si="1"/>
        <v>1.8337600000000001</v>
      </c>
      <c r="F20" s="119">
        <f>(1.443+1.128+0.225+1.167)*0.05*0.008*7850*C20</f>
        <v>12.443820000000001</v>
      </c>
      <c r="G20" s="125">
        <f>(1.2+1.273+1.285*9)*0.04*0.006*7850*C20</f>
        <v>26.447592</v>
      </c>
      <c r="H20" s="218"/>
      <c r="I20" s="136"/>
      <c r="J20" s="173">
        <v>2</v>
      </c>
      <c r="K20" s="174"/>
      <c r="L20" s="11"/>
      <c r="M20" s="136" t="s">
        <v>101</v>
      </c>
      <c r="N20" s="119">
        <f>((0.348+0.008*2)*2+(0.12+0.117+0.116)+((0.092+0.095)*2+0.095*2*9)+0.09*2)*0.25</f>
        <v>0.83625000000000005</v>
      </c>
      <c r="P20" s="1">
        <f>40*2+6*2</f>
        <v>92</v>
      </c>
    </row>
    <row r="21" spans="1:17" ht="14.25" customHeight="1" x14ac:dyDescent="0.2">
      <c r="A21" s="136" t="s">
        <v>102</v>
      </c>
      <c r="B21" s="114">
        <f>0.363+0.154</f>
        <v>0.51700000000000002</v>
      </c>
      <c r="C21" s="138">
        <v>1</v>
      </c>
      <c r="D21" s="139">
        <f t="shared" si="2"/>
        <v>0.51700000000000002</v>
      </c>
      <c r="E21" s="252">
        <f t="shared" si="1"/>
        <v>1.8337600000000001</v>
      </c>
      <c r="F21" s="119">
        <f>(0.357+0.969+0.173+1.324)*0.05*0.008*7850*C21</f>
        <v>8.8642200000000013</v>
      </c>
      <c r="G21" s="125">
        <f>(1.285*3+1.192+1.046+0.901+0.755+0.6094+0.464+0.318)*0.04*0.006*7850*C21</f>
        <v>17.2205136</v>
      </c>
      <c r="H21" s="218"/>
      <c r="I21" s="136"/>
      <c r="J21" s="173">
        <v>2</v>
      </c>
      <c r="K21" s="174"/>
      <c r="L21" s="11"/>
      <c r="M21" s="136" t="s">
        <v>102</v>
      </c>
      <c r="N21" s="119">
        <f>((0.348+0.008*2)*2+(0.117+0.12*2)+0.095*2*10)*0.25</f>
        <v>0.74624999999999997</v>
      </c>
    </row>
    <row r="22" spans="1:17" ht="14.25" customHeight="1" x14ac:dyDescent="0.2">
      <c r="A22" s="136" t="s">
        <v>103</v>
      </c>
      <c r="B22" s="114">
        <v>1.0329999999999999</v>
      </c>
      <c r="C22" s="138">
        <v>4</v>
      </c>
      <c r="D22" s="139">
        <f t="shared" si="2"/>
        <v>4.1319999999999997</v>
      </c>
      <c r="E22" s="252">
        <f t="shared" ref="E22:E27" si="3">(0.146*2)*0.1*0.008*7850*C22</f>
        <v>7.3350400000000002</v>
      </c>
      <c r="F22" s="119">
        <f>(1.033*2+1.287)*0.05*0.008*7850*C22</f>
        <v>42.113680000000002</v>
      </c>
      <c r="G22" s="125">
        <f>(1.285*8)*0.04*0.006*7850*C22</f>
        <v>77.47008000000001</v>
      </c>
      <c r="H22" s="218"/>
      <c r="I22" s="136"/>
      <c r="J22" s="173">
        <f>4*2</f>
        <v>8</v>
      </c>
      <c r="K22" s="174"/>
      <c r="L22" s="11"/>
      <c r="M22" s="136" t="s">
        <v>103</v>
      </c>
      <c r="N22" s="119">
        <f>((0.3504+0.008*2)*2+(0.12*2)+0.095*2*8+0.09*2)*0.25*4</f>
        <v>2.6728000000000001</v>
      </c>
    </row>
    <row r="23" spans="1:17" ht="14.25" customHeight="1" x14ac:dyDescent="0.2">
      <c r="A23" s="136" t="s">
        <v>104</v>
      </c>
      <c r="B23" s="114">
        <f>0.179+0.292</f>
        <v>0.47099999999999997</v>
      </c>
      <c r="C23" s="138">
        <v>4</v>
      </c>
      <c r="D23" s="139">
        <f t="shared" si="2"/>
        <v>1.8839999999999999</v>
      </c>
      <c r="E23" s="252">
        <f t="shared" si="3"/>
        <v>7.3350400000000002</v>
      </c>
      <c r="F23" s="119">
        <f>(1.394+1.119+0.286)*0.05*0.008*7850*C23</f>
        <v>35.155439999999999</v>
      </c>
      <c r="G23" s="125">
        <f>(0.141+0.282+0.422+0.563+0.704+0.8444+0.985+1.126+1.267+1.215*2)*0.04*0.006*7850*C23</f>
        <v>66.048518400000006</v>
      </c>
      <c r="H23" s="218"/>
      <c r="I23" s="136"/>
      <c r="J23" s="173">
        <f>4*2</f>
        <v>8</v>
      </c>
      <c r="K23" s="174"/>
      <c r="L23" s="11"/>
      <c r="M23" s="136" t="s">
        <v>104</v>
      </c>
      <c r="N23" s="119">
        <f>((0.3504+0.008*2)*2+0.117*2+0.095*2*11)*0.25*4</f>
        <v>3.0568</v>
      </c>
    </row>
    <row r="24" spans="1:17" ht="14.25" customHeight="1" x14ac:dyDescent="0.2">
      <c r="A24" s="136" t="s">
        <v>105</v>
      </c>
      <c r="B24" s="114">
        <v>1.1639999999999999</v>
      </c>
      <c r="C24" s="138">
        <v>4</v>
      </c>
      <c r="D24" s="139">
        <f t="shared" si="2"/>
        <v>4.6559999999999997</v>
      </c>
      <c r="E24" s="252">
        <f t="shared" si="3"/>
        <v>7.3350400000000002</v>
      </c>
      <c r="F24" s="119">
        <f>(1.164*2+1.287)*0.05*0.008*7850*C24</f>
        <v>45.404400000000003</v>
      </c>
      <c r="G24" s="125">
        <f>(1.285*9)*0.04*0.006*7850*C24</f>
        <v>87.153840000000002</v>
      </c>
      <c r="H24" s="218"/>
      <c r="I24" s="136"/>
      <c r="J24" s="173">
        <f>4*2</f>
        <v>8</v>
      </c>
      <c r="K24" s="174"/>
      <c r="L24" s="11"/>
      <c r="M24" s="136" t="s">
        <v>105</v>
      </c>
      <c r="N24" s="119">
        <f>((0.35+0.008*2)*2+(0.12*2)+0.095*2*9+0.09*2)*0.25*4</f>
        <v>2.8620000000000001</v>
      </c>
    </row>
    <row r="25" spans="1:17" ht="14.25" customHeight="1" x14ac:dyDescent="0.2">
      <c r="A25" s="136" t="s">
        <v>106</v>
      </c>
      <c r="B25" s="114">
        <f>0.31+0.158</f>
        <v>0.46799999999999997</v>
      </c>
      <c r="C25" s="138">
        <v>4</v>
      </c>
      <c r="D25" s="139">
        <f t="shared" si="2"/>
        <v>1.8719999999999999</v>
      </c>
      <c r="E25" s="252">
        <f t="shared" si="3"/>
        <v>7.3350400000000002</v>
      </c>
      <c r="F25" s="119">
        <f>(0.305+0.989+0.15+1.291)*0.05*0.008*7850*C25</f>
        <v>34.351600000000005</v>
      </c>
      <c r="G25" s="125">
        <f>(1.285*2+1.281+1.1434+1.0014+0.86+0.718+0.576+0.434+0.292)*0.04*0.006*7850*C25</f>
        <v>66.888028800000001</v>
      </c>
      <c r="H25" s="218"/>
      <c r="I25" s="136"/>
      <c r="J25" s="173">
        <f>4*2</f>
        <v>8</v>
      </c>
      <c r="K25" s="174"/>
      <c r="L25" s="11"/>
      <c r="M25" s="136" t="s">
        <v>106</v>
      </c>
      <c r="N25" s="119">
        <f>((0.35+0.008*2)+(0.341+0.008*2)+(0.117+0.12*2)+0.095*2*9+(0.095+0.092)*1)*0.25*4</f>
        <v>2.9769999999999999</v>
      </c>
    </row>
    <row r="26" spans="1:17" ht="14.25" customHeight="1" x14ac:dyDescent="0.2">
      <c r="A26" s="136" t="s">
        <v>107</v>
      </c>
      <c r="B26" s="114">
        <v>1.17</v>
      </c>
      <c r="C26" s="138">
        <v>1</v>
      </c>
      <c r="D26" s="139">
        <f t="shared" si="2"/>
        <v>1.17</v>
      </c>
      <c r="E26" s="252">
        <f t="shared" si="3"/>
        <v>1.8337600000000001</v>
      </c>
      <c r="F26" s="119">
        <f>(1.17*2+1.335)*0.05*0.008*7850*C26</f>
        <v>11.5395</v>
      </c>
      <c r="G26" s="125">
        <f>(1.334*9)*0.04*0.006*7850*C26</f>
        <v>22.619304</v>
      </c>
      <c r="H26" s="218"/>
      <c r="I26" s="136"/>
      <c r="J26" s="173">
        <f>2*1</f>
        <v>2</v>
      </c>
      <c r="K26" s="174"/>
      <c r="L26" s="11"/>
      <c r="M26" s="136" t="s">
        <v>107</v>
      </c>
      <c r="N26" s="119">
        <f>((0.3494+0.008*2)*2+(0.12*2)+0.095*2*9+0.09*2)*0.25*4</f>
        <v>2.8608000000000002</v>
      </c>
    </row>
    <row r="27" spans="1:17" ht="14.25" customHeight="1" x14ac:dyDescent="0.2">
      <c r="A27" s="136" t="s">
        <v>108</v>
      </c>
      <c r="B27" s="114">
        <f>0.05+1.26</f>
        <v>1.31</v>
      </c>
      <c r="C27" s="138">
        <v>1</v>
      </c>
      <c r="D27" s="139">
        <f t="shared" si="2"/>
        <v>1.31</v>
      </c>
      <c r="E27" s="252">
        <f t="shared" si="3"/>
        <v>1.8337600000000001</v>
      </c>
      <c r="F27" s="119">
        <f>(1.236+0.05+1.301+1.298)*0.05*0.008*7850*C27</f>
        <v>12.1989</v>
      </c>
      <c r="G27" s="125">
        <f>(1.334*10)*0.04*0.006*7850*C27</f>
        <v>25.132559999999998</v>
      </c>
      <c r="H27" s="218"/>
      <c r="I27" s="136"/>
      <c r="J27" s="173">
        <f>2*1</f>
        <v>2</v>
      </c>
      <c r="K27" s="174"/>
      <c r="L27" s="11"/>
      <c r="M27" s="136" t="s">
        <v>108</v>
      </c>
      <c r="N27" s="119">
        <f>((0.3494+0.008*2)*2+(0.117+0.116+0.12)+0.095*2*10)*0.25*4</f>
        <v>2.9838</v>
      </c>
    </row>
    <row r="28" spans="1:17" ht="14.25" customHeight="1" x14ac:dyDescent="0.2">
      <c r="A28" s="136" t="s">
        <v>109</v>
      </c>
      <c r="B28" s="114">
        <v>1.232</v>
      </c>
      <c r="C28" s="138">
        <v>1</v>
      </c>
      <c r="D28" s="139">
        <f t="shared" si="2"/>
        <v>1.232</v>
      </c>
      <c r="E28" s="252">
        <f>(0.11*2)*0.1*0.008*7850*C28</f>
        <v>1.3816000000000002</v>
      </c>
      <c r="F28" s="119">
        <f>(1.232+1.162)*2*0.05*0.008*7850*C28</f>
        <v>15.034320000000003</v>
      </c>
      <c r="G28" s="125">
        <f>(1.162*12)*0.04*0.006*7850*C28</f>
        <v>26.270495999999998</v>
      </c>
      <c r="H28" s="218"/>
      <c r="I28" s="136"/>
      <c r="J28" s="173"/>
      <c r="K28" s="174">
        <v>2</v>
      </c>
      <c r="L28" s="11"/>
      <c r="M28" s="136" t="s">
        <v>109</v>
      </c>
      <c r="N28" s="119">
        <f>(0.116*2*2+0.092*2*12)*0.25</f>
        <v>0.66800000000000004</v>
      </c>
    </row>
    <row r="29" spans="1:17" ht="14.25" customHeight="1" x14ac:dyDescent="0.2">
      <c r="A29" s="136" t="s">
        <v>110</v>
      </c>
      <c r="B29" s="114">
        <v>0.82099999999999995</v>
      </c>
      <c r="C29" s="138">
        <v>1</v>
      </c>
      <c r="D29" s="139">
        <f t="shared" si="2"/>
        <v>0.82099999999999995</v>
      </c>
      <c r="E29" s="252">
        <v>0</v>
      </c>
      <c r="F29" s="119">
        <f>(0.821+0.984)*2*0.05*0.008*7850*C29</f>
        <v>11.3354</v>
      </c>
      <c r="G29" s="125">
        <f>(0.984*7)*0.04*0.006*7850*C29</f>
        <v>12.976991999999999</v>
      </c>
      <c r="H29" s="218"/>
      <c r="I29" s="136"/>
      <c r="J29" s="173"/>
      <c r="K29" s="174"/>
      <c r="L29" s="11"/>
      <c r="M29" s="136" t="s">
        <v>110</v>
      </c>
      <c r="N29" s="119">
        <f>(0.116*2*2+0.092*2*7)*0.25</f>
        <v>0.438</v>
      </c>
    </row>
    <row r="30" spans="1:17" ht="14.25" customHeight="1" x14ac:dyDescent="0.2">
      <c r="A30" s="136" t="s">
        <v>111</v>
      </c>
      <c r="B30" s="114">
        <v>0.58399999999999996</v>
      </c>
      <c r="C30" s="138">
        <v>1</v>
      </c>
      <c r="D30" s="139">
        <f t="shared" si="2"/>
        <v>0.58399999999999996</v>
      </c>
      <c r="E30" s="252">
        <v>0</v>
      </c>
      <c r="F30" s="119">
        <f>(0.584+0.984)*2*0.05*0.008*7850*C30</f>
        <v>9.8470400000000016</v>
      </c>
      <c r="G30" s="125">
        <f>(0.984*5)*0.04*0.006*7850*C30</f>
        <v>9.2692800000000002</v>
      </c>
      <c r="H30" s="218"/>
      <c r="I30" s="136"/>
      <c r="J30" s="173"/>
      <c r="K30" s="174"/>
      <c r="L30" s="11"/>
      <c r="M30" s="136" t="s">
        <v>111</v>
      </c>
      <c r="N30" s="119">
        <f>(0.116*2*2+0.092*2*5)*0.25</f>
        <v>0.34599999999999997</v>
      </c>
    </row>
    <row r="31" spans="1:17" ht="14.25" customHeight="1" x14ac:dyDescent="0.2">
      <c r="A31" s="136" t="s">
        <v>112</v>
      </c>
      <c r="B31" s="114">
        <v>0.56200000000000006</v>
      </c>
      <c r="C31" s="138">
        <v>3</v>
      </c>
      <c r="D31" s="139">
        <f t="shared" si="2"/>
        <v>1.6860000000000002</v>
      </c>
      <c r="E31" s="252">
        <v>0</v>
      </c>
      <c r="F31" s="119">
        <f>(0.562+0.984)*2*0.05*0.008*7850*C31</f>
        <v>29.126640000000002</v>
      </c>
      <c r="G31" s="125">
        <f>(0.984*5)*0.04*0.006*7850*C31</f>
        <v>27.807839999999999</v>
      </c>
      <c r="H31" s="218"/>
      <c r="I31" s="136"/>
      <c r="J31" s="173"/>
      <c r="K31" s="174"/>
      <c r="L31" s="11"/>
      <c r="M31" s="136" t="s">
        <v>112</v>
      </c>
      <c r="N31" s="119">
        <f>(0.116*2*2+0.092*2*5)*0.25*3</f>
        <v>1.0379999999999998</v>
      </c>
    </row>
    <row r="32" spans="1:17" ht="14.25" customHeight="1" thickBot="1" x14ac:dyDescent="0.25">
      <c r="A32" s="136" t="s">
        <v>113</v>
      </c>
      <c r="B32" s="114">
        <v>0.53900000000000003</v>
      </c>
      <c r="C32" s="138">
        <v>1</v>
      </c>
      <c r="D32" s="139">
        <f t="shared" si="2"/>
        <v>0.53900000000000003</v>
      </c>
      <c r="E32" s="252">
        <v>0</v>
      </c>
      <c r="F32" s="119">
        <f>(0.539+0.984)*2*0.05*0.008*7850*C32</f>
        <v>9.5644400000000012</v>
      </c>
      <c r="G32" s="125">
        <f>(0.984*5)*0.04*0.006*7850*C32</f>
        <v>9.2692800000000002</v>
      </c>
      <c r="H32" s="218"/>
      <c r="I32" s="136"/>
      <c r="J32" s="173"/>
      <c r="K32" s="174"/>
      <c r="L32" s="11"/>
      <c r="M32" s="136" t="s">
        <v>113</v>
      </c>
      <c r="N32" s="119">
        <f>(0.116*2*2+0.092*2*5)*0.25</f>
        <v>0.34599999999999997</v>
      </c>
    </row>
    <row r="33" spans="1:25" ht="15.75" customHeight="1" thickBot="1" x14ac:dyDescent="0.25">
      <c r="A33" s="277" t="s">
        <v>49</v>
      </c>
      <c r="B33" s="278"/>
      <c r="C33" s="253">
        <f>SUM(C12:C32)</f>
        <v>35</v>
      </c>
      <c r="D33" s="254">
        <f>SUM(D12:D32)</f>
        <v>28.785</v>
      </c>
      <c r="E33" s="256">
        <f>SUM(E12:E32)</f>
        <v>52.726879999999994</v>
      </c>
      <c r="F33" s="256">
        <f>SUM(F12:F32)</f>
        <v>359.00373599999995</v>
      </c>
      <c r="G33" s="256">
        <f>SUM(G12:G32)</f>
        <v>632.71200959999987</v>
      </c>
      <c r="I33" s="121" t="s">
        <v>49</v>
      </c>
      <c r="J33" s="175">
        <f>SUM(J12:J32)</f>
        <v>56</v>
      </c>
      <c r="K33" s="175">
        <f>SUM(K12:K32)</f>
        <v>2</v>
      </c>
      <c r="L33" s="132"/>
      <c r="N33" s="257">
        <f>SUM(N12:N32)</f>
        <v>27.7272</v>
      </c>
    </row>
    <row r="34" spans="1:25" ht="18.75" customHeight="1" x14ac:dyDescent="0.2">
      <c r="A34" s="5"/>
      <c r="B34" s="6"/>
      <c r="C34" s="8"/>
      <c r="D34" s="6"/>
      <c r="E34" s="107"/>
      <c r="F34" s="107"/>
      <c r="G34" s="107"/>
      <c r="J34" s="6"/>
      <c r="K34" s="6"/>
      <c r="L34" s="6"/>
      <c r="M34" s="6"/>
      <c r="N34" s="6"/>
      <c r="O34" s="6"/>
      <c r="P34" s="6"/>
      <c r="Q34" s="6"/>
      <c r="V34" s="133"/>
    </row>
    <row r="35" spans="1:25" ht="13.5" thickBot="1" x14ac:dyDescent="0.25">
      <c r="A35" s="172" t="str">
        <f>"2. Raw Materials Price/"&amp; ROUND(B8,2) &amp;"m"</f>
        <v>2. Raw Materials Price/28.79m</v>
      </c>
      <c r="B35" s="172"/>
      <c r="G35" s="44"/>
      <c r="I35" s="2"/>
      <c r="J35" s="9"/>
      <c r="K35" s="10"/>
    </row>
    <row r="36" spans="1:25" ht="13.5" thickBot="1" x14ac:dyDescent="0.25">
      <c r="A36" s="179" t="s">
        <v>45</v>
      </c>
      <c r="B36" s="180" t="s">
        <v>5</v>
      </c>
      <c r="C36" s="180" t="s">
        <v>35</v>
      </c>
      <c r="D36" s="180" t="s">
        <v>36</v>
      </c>
      <c r="E36" s="180" t="s">
        <v>37</v>
      </c>
      <c r="F36" s="181" t="str">
        <f>"Net kg/"&amp;ROUND(B8,2)&amp;" m"</f>
        <v>Net kg/28.79 m</v>
      </c>
      <c r="G36" s="247"/>
      <c r="H36" s="107"/>
    </row>
    <row r="37" spans="1:25" ht="15" x14ac:dyDescent="0.25">
      <c r="A37" s="219" t="s">
        <v>63</v>
      </c>
      <c r="B37" s="211" t="s">
        <v>6</v>
      </c>
      <c r="C37" s="212">
        <f>F37*1.08</f>
        <v>56.9450304</v>
      </c>
      <c r="D37" s="220">
        <v>5.2</v>
      </c>
      <c r="E37" s="220">
        <f>C37*D37</f>
        <v>296.11415808000004</v>
      </c>
      <c r="F37" s="213">
        <f>E33</f>
        <v>52.726879999999994</v>
      </c>
      <c r="G37" s="123"/>
      <c r="H37" s="107"/>
      <c r="I37" s="107"/>
      <c r="J37" s="107"/>
      <c r="K37" s="107"/>
      <c r="L37" s="107"/>
      <c r="M37" s="107"/>
      <c r="N37" s="107"/>
      <c r="O37" s="107"/>
      <c r="S37"/>
      <c r="Y37" s="117"/>
    </row>
    <row r="38" spans="1:25" ht="15" x14ac:dyDescent="0.25">
      <c r="A38" s="221" t="s">
        <v>66</v>
      </c>
      <c r="B38" s="215" t="s">
        <v>6</v>
      </c>
      <c r="C38" s="222">
        <f>1.09*F38</f>
        <v>391.31407223999997</v>
      </c>
      <c r="D38" s="220">
        <v>6</v>
      </c>
      <c r="E38" s="222">
        <f>C38*D38</f>
        <v>2347.8844334400001</v>
      </c>
      <c r="F38" s="223">
        <f>F33</f>
        <v>359.00373599999995</v>
      </c>
      <c r="G38" s="123"/>
      <c r="H38" s="91"/>
      <c r="I38" s="153" t="s">
        <v>74</v>
      </c>
      <c r="J38" s="153"/>
      <c r="S38"/>
    </row>
    <row r="39" spans="1:25" ht="15" x14ac:dyDescent="0.25">
      <c r="A39" s="221" t="s">
        <v>59</v>
      </c>
      <c r="B39" s="215" t="s">
        <v>6</v>
      </c>
      <c r="C39" s="222">
        <f>1.08*F39</f>
        <v>683.32897036799989</v>
      </c>
      <c r="D39" s="220">
        <v>6.1</v>
      </c>
      <c r="E39" s="222">
        <f>C39*D39</f>
        <v>4168.3067192447988</v>
      </c>
      <c r="F39" s="224">
        <f>G33</f>
        <v>632.71200959999987</v>
      </c>
      <c r="G39" s="250"/>
      <c r="S39"/>
    </row>
    <row r="40" spans="1:25" ht="15" x14ac:dyDescent="0.25">
      <c r="A40" s="225" t="s">
        <v>73</v>
      </c>
      <c r="B40" s="215" t="s">
        <v>6</v>
      </c>
      <c r="C40" s="222">
        <f>0.07*0.03*0.006*7850*(1*2)</f>
        <v>0.19782000000000002</v>
      </c>
      <c r="D40" s="220">
        <v>4.5</v>
      </c>
      <c r="E40" s="222">
        <f t="shared" ref="E40" si="4">C40*D40</f>
        <v>0.89019000000000015</v>
      </c>
      <c r="F40" s="224">
        <f>0.06*0.03*0.006*7850*(1*2)</f>
        <v>0.16955999999999999</v>
      </c>
      <c r="G40" s="249"/>
      <c r="H40" s="94"/>
      <c r="I40"/>
      <c r="J40"/>
      <c r="K40"/>
      <c r="L40"/>
      <c r="M40"/>
      <c r="N40"/>
      <c r="O40"/>
      <c r="P40"/>
      <c r="Q40"/>
      <c r="R40"/>
      <c r="S40"/>
    </row>
    <row r="41" spans="1:25" ht="15" x14ac:dyDescent="0.25">
      <c r="A41" s="226" t="s">
        <v>54</v>
      </c>
      <c r="B41" s="227" t="s">
        <v>2</v>
      </c>
      <c r="C41" s="228">
        <f>2*1</f>
        <v>2</v>
      </c>
      <c r="D41" s="229">
        <v>0.76800000000000002</v>
      </c>
      <c r="E41" s="229">
        <f>C41*D41</f>
        <v>1.536</v>
      </c>
      <c r="F41" s="230">
        <f>0.00963*C41</f>
        <v>1.9259999999999999E-2</v>
      </c>
      <c r="G41" s="248"/>
      <c r="H41" s="91"/>
      <c r="I41" s="96"/>
      <c r="J41"/>
      <c r="K41"/>
      <c r="L41"/>
      <c r="M41"/>
      <c r="N41"/>
      <c r="O41"/>
      <c r="P41"/>
      <c r="Q41"/>
      <c r="R41"/>
      <c r="S41"/>
    </row>
    <row r="42" spans="1:25" s="6" customFormat="1" ht="15" x14ac:dyDescent="0.25">
      <c r="A42" s="231" t="s">
        <v>51</v>
      </c>
      <c r="B42" s="232" t="s">
        <v>2</v>
      </c>
      <c r="C42" s="214">
        <f>C41</f>
        <v>2</v>
      </c>
      <c r="D42" s="233">
        <v>0.20300000000000001</v>
      </c>
      <c r="E42" s="233">
        <f t="shared" ref="E42" si="5">C42*D42</f>
        <v>0.40600000000000003</v>
      </c>
      <c r="F42" s="224">
        <f>0.00539*C42</f>
        <v>1.078E-2</v>
      </c>
      <c r="G42" s="134"/>
      <c r="H42" s="94"/>
      <c r="I42" s="96"/>
      <c r="J42"/>
      <c r="K42"/>
      <c r="L42"/>
      <c r="M42"/>
      <c r="N42"/>
      <c r="O42"/>
      <c r="P42"/>
      <c r="Q42"/>
      <c r="R42"/>
      <c r="S42"/>
    </row>
    <row r="43" spans="1:25" s="6" customFormat="1" ht="15" x14ac:dyDescent="0.25">
      <c r="A43" s="231" t="s">
        <v>52</v>
      </c>
      <c r="B43" s="232" t="s">
        <v>2</v>
      </c>
      <c r="C43" s="214">
        <f>C42</f>
        <v>2</v>
      </c>
      <c r="D43" s="233">
        <v>0.12</v>
      </c>
      <c r="E43" s="233">
        <f>C43*D43</f>
        <v>0.24</v>
      </c>
      <c r="F43" s="224">
        <f>0.00206*C43</f>
        <v>4.1200000000000004E-3</v>
      </c>
      <c r="G43" s="54"/>
      <c r="H43" s="91"/>
      <c r="I43" s="96"/>
      <c r="J43"/>
      <c r="K43"/>
      <c r="L43"/>
      <c r="M43"/>
      <c r="N43"/>
      <c r="O43"/>
      <c r="P43"/>
      <c r="Q43"/>
      <c r="R43"/>
      <c r="S43"/>
    </row>
    <row r="44" spans="1:25" s="6" customFormat="1" ht="15" x14ac:dyDescent="0.25">
      <c r="A44" s="231" t="s">
        <v>53</v>
      </c>
      <c r="B44" s="232" t="s">
        <v>2</v>
      </c>
      <c r="C44" s="214">
        <f>C42</f>
        <v>2</v>
      </c>
      <c r="D44" s="233">
        <v>0.12</v>
      </c>
      <c r="E44" s="233">
        <f t="shared" ref="E44" si="6">C44*D44</f>
        <v>0.24</v>
      </c>
      <c r="F44" s="224">
        <f>0.001*C44</f>
        <v>2E-3</v>
      </c>
      <c r="G44" s="101"/>
      <c r="H44" s="8"/>
      <c r="I44"/>
      <c r="J44"/>
      <c r="K44"/>
      <c r="L44"/>
      <c r="M44"/>
      <c r="N44"/>
      <c r="O44"/>
      <c r="P44"/>
      <c r="Q44"/>
      <c r="R44"/>
      <c r="S44"/>
    </row>
    <row r="45" spans="1:25" s="6" customFormat="1" x14ac:dyDescent="0.2">
      <c r="A45" s="234" t="s">
        <v>7</v>
      </c>
      <c r="B45" s="232" t="s">
        <v>6</v>
      </c>
      <c r="C45" s="222">
        <f>8.523</f>
        <v>8.5229999999999997</v>
      </c>
      <c r="D45" s="233">
        <v>14</v>
      </c>
      <c r="E45" s="233">
        <f>C45*D45</f>
        <v>119.322</v>
      </c>
      <c r="F45" s="224">
        <f>C45</f>
        <v>8.5229999999999997</v>
      </c>
      <c r="G45" s="54"/>
      <c r="H45" s="3"/>
      <c r="I45" s="11"/>
      <c r="J45" s="13"/>
    </row>
    <row r="46" spans="1:25" s="6" customFormat="1" ht="14.25" customHeight="1" x14ac:dyDescent="0.2">
      <c r="A46" s="234" t="s">
        <v>8</v>
      </c>
      <c r="B46" s="232" t="s">
        <v>47</v>
      </c>
      <c r="C46" s="233">
        <f>0.88*C45</f>
        <v>7.5002399999999998</v>
      </c>
      <c r="D46" s="233">
        <v>48.3</v>
      </c>
      <c r="E46" s="233">
        <f>C46*D46</f>
        <v>362.26159199999995</v>
      </c>
      <c r="F46" s="224"/>
      <c r="G46" s="54"/>
      <c r="I46" s="11"/>
      <c r="J46" s="13"/>
    </row>
    <row r="47" spans="1:25" s="6" customFormat="1" ht="13.5" thickBot="1" x14ac:dyDescent="0.25">
      <c r="A47" s="235" t="s">
        <v>43</v>
      </c>
      <c r="B47" s="236" t="s">
        <v>2</v>
      </c>
      <c r="C47" s="237">
        <v>1</v>
      </c>
      <c r="D47" s="237">
        <f>F48/10</f>
        <v>105.31713455999997</v>
      </c>
      <c r="E47" s="237">
        <f>C47*D47</f>
        <v>105.31713455999997</v>
      </c>
      <c r="F47" s="238"/>
      <c r="G47" s="54"/>
      <c r="H47" s="3"/>
      <c r="J47" s="13"/>
    </row>
    <row r="48" spans="1:25" s="6" customFormat="1" ht="13.5" thickBot="1" x14ac:dyDescent="0.25">
      <c r="A48" s="239"/>
      <c r="B48" s="240"/>
      <c r="C48" s="240"/>
      <c r="D48" s="241" t="s">
        <v>4</v>
      </c>
      <c r="E48" s="242">
        <f>SUM(E37:E47)</f>
        <v>7402.5182273247992</v>
      </c>
      <c r="F48" s="243">
        <f>SUM(F37:F47)</f>
        <v>1053.1713455999998</v>
      </c>
      <c r="H48" s="3"/>
      <c r="I48" s="81">
        <f>E48/F48/4.95</f>
        <v>1.4199571930913195</v>
      </c>
      <c r="J48" s="13"/>
    </row>
    <row r="49" spans="1:15" x14ac:dyDescent="0.2">
      <c r="A49" s="244"/>
      <c r="B49" s="244"/>
      <c r="C49" s="245"/>
      <c r="D49" s="245"/>
      <c r="E49" s="246" t="s">
        <v>9</v>
      </c>
      <c r="F49" s="210">
        <f>F48/B8</f>
        <v>36.587505492443974</v>
      </c>
      <c r="I49" s="3"/>
      <c r="J49" s="7"/>
      <c r="K49" s="13"/>
    </row>
    <row r="50" spans="1:15" ht="13.5" thickBot="1" x14ac:dyDescent="0.25">
      <c r="C50" s="14"/>
      <c r="D50" s="14"/>
      <c r="E50" s="14"/>
      <c r="F50" s="14"/>
      <c r="G50" s="4"/>
      <c r="H50" s="15"/>
      <c r="I50" s="3"/>
      <c r="J50" s="7"/>
      <c r="K50" s="13"/>
    </row>
    <row r="51" spans="1:15" x14ac:dyDescent="0.2">
      <c r="D51" s="16"/>
      <c r="E51" s="17" t="s">
        <v>10</v>
      </c>
      <c r="H51" s="12"/>
      <c r="I51" s="3"/>
      <c r="J51" s="7"/>
    </row>
    <row r="52" spans="1:15" x14ac:dyDescent="0.2">
      <c r="A52" s="18"/>
      <c r="B52" s="18"/>
      <c r="C52" s="18"/>
      <c r="D52" s="52" t="s">
        <v>4</v>
      </c>
      <c r="E52" s="51">
        <f>4.485*B8</f>
        <v>129.10072500000001</v>
      </c>
      <c r="H52" s="19"/>
      <c r="I52" s="81">
        <f>E52/B8</f>
        <v>4.4850000000000003</v>
      </c>
      <c r="J52" s="7"/>
    </row>
    <row r="53" spans="1:15" ht="13.5" thickBot="1" x14ac:dyDescent="0.25">
      <c r="A53" s="18"/>
      <c r="B53" s="18"/>
      <c r="C53" s="18"/>
      <c r="D53" s="53" t="s">
        <v>33</v>
      </c>
      <c r="E53" s="56">
        <v>49.8</v>
      </c>
      <c r="I53" s="113" t="s">
        <v>55</v>
      </c>
      <c r="J53" s="113"/>
      <c r="K53" s="122">
        <v>4.8949999999999996</v>
      </c>
      <c r="L53" s="113" t="s">
        <v>56</v>
      </c>
      <c r="M53" s="113"/>
      <c r="N53" s="113"/>
      <c r="O53" s="113"/>
    </row>
    <row r="54" spans="1:15" x14ac:dyDescent="0.2">
      <c r="A54" s="18"/>
      <c r="B54" s="18"/>
      <c r="C54" s="18"/>
      <c r="D54" s="29"/>
      <c r="E54" s="30"/>
      <c r="I54" s="20"/>
      <c r="J54" s="7"/>
    </row>
    <row r="55" spans="1:15" ht="13.5" thickBot="1" x14ac:dyDescent="0.25">
      <c r="A55" s="47" t="s">
        <v>38</v>
      </c>
      <c r="J55" s="7"/>
    </row>
    <row r="56" spans="1:15" x14ac:dyDescent="0.2">
      <c r="A56" s="31"/>
      <c r="B56" s="32"/>
      <c r="C56" s="33"/>
      <c r="D56" s="43" t="s">
        <v>11</v>
      </c>
      <c r="E56" s="34"/>
      <c r="F56" s="35" t="s">
        <v>12</v>
      </c>
      <c r="G56" s="22"/>
      <c r="I56" s="22"/>
      <c r="J56" s="7"/>
    </row>
    <row r="57" spans="1:15" x14ac:dyDescent="0.2">
      <c r="A57" s="57" t="s">
        <v>44</v>
      </c>
      <c r="B57" s="36"/>
      <c r="C57" s="21"/>
      <c r="D57" s="58"/>
      <c r="E57" s="29"/>
      <c r="F57" s="59">
        <f>E48*1</f>
        <v>7402.5182273247992</v>
      </c>
      <c r="G57" s="22"/>
      <c r="I57" s="22"/>
      <c r="J57" s="9"/>
    </row>
    <row r="58" spans="1:15" x14ac:dyDescent="0.2">
      <c r="A58" s="57" t="s">
        <v>13</v>
      </c>
      <c r="B58" s="36"/>
      <c r="C58" s="21"/>
      <c r="D58" s="58"/>
      <c r="E58" s="29"/>
      <c r="F58" s="60">
        <f>E52*E53</f>
        <v>6429.2161050000004</v>
      </c>
      <c r="G58" s="22"/>
      <c r="I58" s="22"/>
      <c r="J58" s="9"/>
    </row>
    <row r="59" spans="1:15" x14ac:dyDescent="0.2">
      <c r="A59" s="57" t="s">
        <v>14</v>
      </c>
      <c r="B59" s="36"/>
      <c r="C59" s="21"/>
      <c r="D59" s="58" t="s">
        <v>15</v>
      </c>
      <c r="E59" s="29"/>
      <c r="F59" s="59">
        <f>F57*10%</f>
        <v>740.25182273247992</v>
      </c>
      <c r="G59" s="22"/>
      <c r="I59" s="22"/>
    </row>
    <row r="60" spans="1:15" x14ac:dyDescent="0.2">
      <c r="A60" s="57" t="s">
        <v>16</v>
      </c>
      <c r="B60" s="36"/>
      <c r="C60" s="21"/>
      <c r="D60" s="61" t="str">
        <f>F60/E52 &amp;" RON/h"</f>
        <v>32.8 RON/h</v>
      </c>
      <c r="E60" s="29"/>
      <c r="F60" s="60">
        <f>E52*32.8</f>
        <v>4234.50378</v>
      </c>
      <c r="G60" s="22"/>
      <c r="I60" s="22"/>
    </row>
    <row r="61" spans="1:15" x14ac:dyDescent="0.2">
      <c r="A61" s="57" t="s">
        <v>17</v>
      </c>
      <c r="B61" s="36"/>
      <c r="C61" s="21"/>
      <c r="D61" s="58"/>
      <c r="E61" s="29"/>
      <c r="F61" s="59">
        <f>F57+F58+F59+F60</f>
        <v>18806.489935057278</v>
      </c>
      <c r="G61" s="22"/>
      <c r="I61" s="22"/>
    </row>
    <row r="62" spans="1:15" x14ac:dyDescent="0.2">
      <c r="A62" s="57" t="s">
        <v>18</v>
      </c>
      <c r="B62" s="36"/>
      <c r="C62" s="21"/>
      <c r="D62" s="58" t="s">
        <v>15</v>
      </c>
      <c r="E62" s="29"/>
      <c r="F62" s="59">
        <f>F61*10%</f>
        <v>1880.648993505728</v>
      </c>
      <c r="G62" s="21"/>
      <c r="I62" s="21"/>
      <c r="J62" s="9"/>
    </row>
    <row r="63" spans="1:15" x14ac:dyDescent="0.2">
      <c r="A63" s="57" t="s">
        <v>19</v>
      </c>
      <c r="B63" s="36"/>
      <c r="C63" s="21"/>
      <c r="D63" s="62"/>
      <c r="E63" s="29"/>
      <c r="F63" s="59">
        <f>F61+F62</f>
        <v>20687.138928563007</v>
      </c>
      <c r="G63" s="21"/>
      <c r="I63" s="21"/>
      <c r="J63" s="9"/>
    </row>
    <row r="64" spans="1:15" x14ac:dyDescent="0.2">
      <c r="A64" s="57" t="s">
        <v>20</v>
      </c>
      <c r="B64" s="36"/>
      <c r="C64" s="21"/>
      <c r="D64" s="37" t="s">
        <v>21</v>
      </c>
      <c r="E64" s="63">
        <v>0.46400000000000002</v>
      </c>
      <c r="F64" s="64">
        <f>F63/E64</f>
        <v>44584.351139144412</v>
      </c>
      <c r="G64" s="21"/>
      <c r="I64" s="81">
        <f>D69/F48/E65</f>
        <v>4.0588136068230609</v>
      </c>
    </row>
    <row r="65" spans="1:19" x14ac:dyDescent="0.2">
      <c r="A65" s="102"/>
      <c r="B65" s="103"/>
      <c r="C65" s="104"/>
      <c r="D65" s="105" t="s">
        <v>22</v>
      </c>
      <c r="E65" s="106">
        <v>10.43</v>
      </c>
      <c r="F65" s="65"/>
      <c r="G65" s="21"/>
      <c r="H65" s="21"/>
      <c r="I65" s="2"/>
      <c r="K65" s="23"/>
    </row>
    <row r="66" spans="1:19" ht="15" x14ac:dyDescent="0.25">
      <c r="A66" s="189" t="s">
        <v>23</v>
      </c>
      <c r="B66" s="190">
        <f>0</f>
        <v>0</v>
      </c>
      <c r="C66" s="191">
        <f>0.6*E65</f>
        <v>6.258</v>
      </c>
      <c r="D66" s="192">
        <f>B66*C66</f>
        <v>0</v>
      </c>
      <c r="E66" s="193" t="s">
        <v>24</v>
      </c>
      <c r="F66" s="67"/>
      <c r="G66" s="21"/>
      <c r="H66" s="21"/>
      <c r="I66" s="185"/>
      <c r="J66" s="186" t="s">
        <v>84</v>
      </c>
      <c r="K66" s="186" t="s">
        <v>85</v>
      </c>
      <c r="L66" s="186"/>
    </row>
    <row r="67" spans="1:19" ht="15" x14ac:dyDescent="0.25">
      <c r="A67" s="189" t="s">
        <v>25</v>
      </c>
      <c r="B67" s="194">
        <f>0/2000</f>
        <v>0</v>
      </c>
      <c r="C67" s="195">
        <f>0.6*200*2*E65</f>
        <v>2503.1999999999998</v>
      </c>
      <c r="D67" s="196">
        <f>B67*C67</f>
        <v>0</v>
      </c>
      <c r="F67" s="65"/>
      <c r="G67" s="21"/>
      <c r="H67" s="21"/>
      <c r="I67" s="187" t="s">
        <v>86</v>
      </c>
      <c r="J67" s="186" t="s">
        <v>87</v>
      </c>
      <c r="K67" s="186" t="s">
        <v>88</v>
      </c>
      <c r="L67" s="186" t="s">
        <v>89</v>
      </c>
    </row>
    <row r="68" spans="1:19" ht="15" x14ac:dyDescent="0.25">
      <c r="A68" s="57" t="s">
        <v>26</v>
      </c>
      <c r="B68" s="182">
        <f>0</f>
        <v>0</v>
      </c>
      <c r="C68" s="183">
        <v>0</v>
      </c>
      <c r="D68" s="66">
        <f>B68*C68</f>
        <v>0</v>
      </c>
      <c r="E68" s="29" t="s">
        <v>27</v>
      </c>
      <c r="F68" s="68"/>
      <c r="G68" s="21"/>
      <c r="H68" s="21"/>
      <c r="I68" s="187">
        <v>1</v>
      </c>
      <c r="J68" s="186">
        <v>4.8375000000000004</v>
      </c>
      <c r="K68" s="188">
        <v>0.46400000000000002</v>
      </c>
      <c r="L68" s="188">
        <f>J68/K68</f>
        <v>10.425646551724139</v>
      </c>
    </row>
    <row r="69" spans="1:19" x14ac:dyDescent="0.2">
      <c r="A69" s="69" t="s">
        <v>28</v>
      </c>
      <c r="B69" s="21"/>
      <c r="C69" s="21"/>
      <c r="D69" s="70">
        <f>F64+D66+D67+D68</f>
        <v>44584.351139144412</v>
      </c>
      <c r="E69" s="1" t="str">
        <f>"NOK/"&amp;ROUND(B8,2)&amp;" m"</f>
        <v>NOK/28.79 m</v>
      </c>
      <c r="F69" s="71"/>
      <c r="G69" s="24"/>
      <c r="H69" s="24"/>
      <c r="I69" s="2"/>
    </row>
    <row r="70" spans="1:19" x14ac:dyDescent="0.2">
      <c r="A70" s="57" t="s">
        <v>29</v>
      </c>
      <c r="B70" s="72"/>
      <c r="C70" s="73"/>
      <c r="D70" s="66">
        <f>0.13*D69</f>
        <v>5795.9656480887734</v>
      </c>
      <c r="F70" s="71"/>
      <c r="G70" s="25"/>
      <c r="H70" s="25"/>
      <c r="I70" s="2"/>
    </row>
    <row r="71" spans="1:19" x14ac:dyDescent="0.2">
      <c r="A71" s="57"/>
      <c r="B71" s="36"/>
      <c r="C71" s="21"/>
      <c r="D71" s="74"/>
      <c r="F71" s="71"/>
      <c r="G71" s="26"/>
      <c r="H71" s="26"/>
      <c r="I71" s="2"/>
    </row>
    <row r="72" spans="1:19" ht="13.5" thickBot="1" x14ac:dyDescent="0.25">
      <c r="A72" s="75" t="s">
        <v>30</v>
      </c>
      <c r="B72" s="76"/>
      <c r="C72" s="77"/>
      <c r="D72" s="78">
        <f>D69+D70</f>
        <v>50380.316787233183</v>
      </c>
      <c r="E72" s="79" t="str">
        <f>E69</f>
        <v>NOK/28.79 m</v>
      </c>
      <c r="F72" s="80"/>
      <c r="G72" s="27"/>
      <c r="H72" s="27"/>
      <c r="I72" s="2"/>
    </row>
    <row r="73" spans="1:19" x14ac:dyDescent="0.2">
      <c r="A73" s="21"/>
      <c r="B73" s="36"/>
      <c r="C73" s="21"/>
      <c r="D73" s="19"/>
      <c r="F73" s="37"/>
      <c r="G73" s="27"/>
      <c r="H73" s="27"/>
      <c r="I73" s="2"/>
    </row>
    <row r="74" spans="1:19" ht="13.5" thickBot="1" x14ac:dyDescent="0.25">
      <c r="A74" s="270" t="str">
        <f>"4. Total price/"&amp;ROUND(B8,2)&amp;" m"</f>
        <v>4. Total price/28.79 m</v>
      </c>
      <c r="B74" s="270"/>
      <c r="I74" s="28"/>
    </row>
    <row r="75" spans="1:19" x14ac:dyDescent="0.2">
      <c r="A75" s="271"/>
      <c r="B75" s="272"/>
      <c r="C75" s="38" t="s">
        <v>31</v>
      </c>
      <c r="D75" s="46" t="s">
        <v>39</v>
      </c>
      <c r="E75" s="39" t="s">
        <v>41</v>
      </c>
      <c r="I75" s="28"/>
    </row>
    <row r="76" spans="1:19" ht="15.75" thickBot="1" x14ac:dyDescent="0.3">
      <c r="A76" s="273"/>
      <c r="B76" s="274"/>
      <c r="C76" s="40" t="s">
        <v>40</v>
      </c>
      <c r="D76" s="41" t="s">
        <v>40</v>
      </c>
      <c r="E76" s="42" t="s">
        <v>42</v>
      </c>
      <c r="H76" s="90"/>
      <c r="I76" s="90"/>
    </row>
    <row r="77" spans="1:19" ht="15" x14ac:dyDescent="0.25">
      <c r="A77" s="127" t="s">
        <v>32</v>
      </c>
      <c r="B77" s="114">
        <f>F64</f>
        <v>44584.351139144412</v>
      </c>
      <c r="C77" s="114">
        <f>B77*0.13</f>
        <v>5795.9656480887734</v>
      </c>
      <c r="D77" s="128">
        <f>B77+C77</f>
        <v>50380.316787233183</v>
      </c>
      <c r="E77" s="129">
        <f>D77/B8</f>
        <v>1750.2281322644844</v>
      </c>
      <c r="F77" s="108" t="s">
        <v>65</v>
      </c>
      <c r="G77" s="109"/>
      <c r="H77" s="109"/>
      <c r="I77" s="110"/>
      <c r="J77" s="110"/>
      <c r="K77" s="111"/>
      <c r="L77" s="112"/>
      <c r="M77" s="112"/>
      <c r="N77" s="112"/>
      <c r="O77" s="112"/>
      <c r="P77" s="112"/>
      <c r="Q77" s="112"/>
      <c r="R77" s="108"/>
      <c r="S77" s="108"/>
    </row>
  </sheetData>
  <mergeCells count="5">
    <mergeCell ref="C10:C11"/>
    <mergeCell ref="A74:B74"/>
    <mergeCell ref="A75:B76"/>
    <mergeCell ref="A10:A11"/>
    <mergeCell ref="A33:B33"/>
  </mergeCells>
  <phoneticPr fontId="18" type="noConversion"/>
  <pageMargins left="0.05" right="0.05" top="0.1" bottom="0.1" header="0.1" footer="0.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C3CC4-42C1-45BD-B479-FB5755FCB723}">
  <sheetPr codeName="Sheet2"/>
  <dimension ref="B1:L116"/>
  <sheetViews>
    <sheetView workbookViewId="0">
      <selection activeCell="M24" sqref="M24"/>
    </sheetView>
  </sheetViews>
  <sheetFormatPr defaultRowHeight="15" x14ac:dyDescent="0.25"/>
  <cols>
    <col min="2" max="2" width="12.28515625" customWidth="1"/>
    <col min="3" max="5" width="11.28515625" customWidth="1"/>
    <col min="7" max="7" width="13.42578125" customWidth="1"/>
  </cols>
  <sheetData>
    <row r="1" spans="2:11" ht="15.75" thickBot="1" x14ac:dyDescent="0.3"/>
    <row r="2" spans="2:11" ht="15.75" thickBot="1" x14ac:dyDescent="0.3">
      <c r="C2" s="159" t="s">
        <v>67</v>
      </c>
      <c r="D2" s="100"/>
      <c r="H2" s="140" t="s">
        <v>68</v>
      </c>
      <c r="I2" s="100"/>
    </row>
    <row r="3" spans="2:11" x14ac:dyDescent="0.25">
      <c r="B3" s="141" t="s">
        <v>77</v>
      </c>
      <c r="C3" s="160">
        <v>1.1220000000000001</v>
      </c>
      <c r="D3" s="100"/>
      <c r="E3" s="197">
        <v>3.0329999999999999</v>
      </c>
      <c r="G3" s="141" t="s">
        <v>77</v>
      </c>
      <c r="H3" s="162">
        <v>1.1830000000000001</v>
      </c>
      <c r="I3" s="96"/>
      <c r="J3" s="197">
        <v>1.2689999999999999</v>
      </c>
    </row>
    <row r="4" spans="2:11" ht="15.75" thickBot="1" x14ac:dyDescent="0.3">
      <c r="B4" s="142"/>
      <c r="C4" s="161">
        <v>1.639</v>
      </c>
      <c r="D4" s="100"/>
      <c r="E4" s="198">
        <v>2.8730000000000002</v>
      </c>
      <c r="F4" s="96">
        <v>1</v>
      </c>
      <c r="G4" s="142"/>
      <c r="H4" s="163">
        <v>1.244</v>
      </c>
      <c r="I4" s="95"/>
      <c r="J4" s="203">
        <v>1.2689999999999999</v>
      </c>
    </row>
    <row r="5" spans="2:11" ht="21" customHeight="1" x14ac:dyDescent="0.25">
      <c r="B5" s="142"/>
      <c r="C5" s="161">
        <v>1.2470000000000001</v>
      </c>
      <c r="D5" s="100"/>
      <c r="E5" s="199">
        <v>2.5979999999999999</v>
      </c>
      <c r="F5" s="96"/>
      <c r="G5" s="142"/>
      <c r="H5" s="164">
        <v>1.268</v>
      </c>
      <c r="I5" s="96"/>
      <c r="J5" s="203">
        <v>1.2689999999999999</v>
      </c>
    </row>
    <row r="6" spans="2:11" ht="21" customHeight="1" x14ac:dyDescent="0.25">
      <c r="B6" s="142"/>
      <c r="C6" s="161">
        <v>2.5979999999999999</v>
      </c>
      <c r="D6" s="100"/>
      <c r="E6" s="200">
        <v>2.5379999999999998</v>
      </c>
      <c r="F6" s="96"/>
      <c r="G6" s="142"/>
      <c r="H6" s="164">
        <v>1.268</v>
      </c>
      <c r="I6" s="96"/>
      <c r="J6" s="203">
        <v>1.2689999999999999</v>
      </c>
    </row>
    <row r="7" spans="2:11" ht="15.75" thickBot="1" x14ac:dyDescent="0.3">
      <c r="B7" s="143"/>
      <c r="C7" s="154">
        <v>0.249</v>
      </c>
      <c r="D7" s="100"/>
      <c r="E7" s="200">
        <v>0.249</v>
      </c>
      <c r="F7" s="96"/>
      <c r="G7" s="142"/>
      <c r="H7" s="164">
        <v>1.268</v>
      </c>
      <c r="I7" s="96"/>
      <c r="J7" s="198">
        <v>0.85599999999999998</v>
      </c>
      <c r="K7" s="96">
        <v>1</v>
      </c>
    </row>
    <row r="8" spans="2:11" ht="15.75" thickBot="1" x14ac:dyDescent="0.3">
      <c r="B8" s="141" t="s">
        <v>78</v>
      </c>
      <c r="C8" s="160">
        <v>1.27</v>
      </c>
      <c r="D8" s="100"/>
      <c r="E8" s="201">
        <v>0.23400000000000001</v>
      </c>
      <c r="F8" s="96">
        <v>2</v>
      </c>
      <c r="G8" s="142"/>
      <c r="H8" s="164">
        <v>1.268</v>
      </c>
      <c r="I8" s="96"/>
      <c r="J8" s="199">
        <v>1.2689999999999999</v>
      </c>
      <c r="K8" s="95"/>
    </row>
    <row r="9" spans="2:11" x14ac:dyDescent="0.25">
      <c r="B9" s="142"/>
      <c r="C9" s="167">
        <v>1.776</v>
      </c>
      <c r="D9" s="100"/>
      <c r="E9" s="197">
        <v>1.776</v>
      </c>
      <c r="F9" s="96"/>
      <c r="G9" s="142"/>
      <c r="H9" s="164">
        <v>1.268</v>
      </c>
      <c r="I9" s="96"/>
      <c r="J9" s="200">
        <v>1.2689999999999999</v>
      </c>
      <c r="K9" s="95"/>
    </row>
    <row r="10" spans="2:11" x14ac:dyDescent="0.25">
      <c r="B10" s="142"/>
      <c r="C10" s="167">
        <v>1.25</v>
      </c>
      <c r="D10" s="100"/>
      <c r="E10" s="202">
        <v>1.639</v>
      </c>
      <c r="F10" s="96"/>
      <c r="G10" s="142"/>
      <c r="H10" s="164">
        <v>1.268</v>
      </c>
      <c r="I10" s="96"/>
      <c r="J10" s="200">
        <v>1.2689999999999999</v>
      </c>
      <c r="K10" s="95"/>
    </row>
    <row r="11" spans="2:11" ht="15.75" thickBot="1" x14ac:dyDescent="0.3">
      <c r="B11" s="143"/>
      <c r="C11" s="168">
        <v>3.0329999999999999</v>
      </c>
      <c r="D11" s="100"/>
      <c r="E11" s="203">
        <v>1.605</v>
      </c>
      <c r="F11" s="96">
        <v>3</v>
      </c>
      <c r="G11" s="142"/>
      <c r="H11" s="164">
        <v>1.268</v>
      </c>
      <c r="I11" s="96"/>
      <c r="J11" s="200">
        <v>1.2689999999999999</v>
      </c>
      <c r="K11" s="95"/>
    </row>
    <row r="12" spans="2:11" ht="15.75" thickBot="1" x14ac:dyDescent="0.3">
      <c r="B12" s="141" t="s">
        <v>79</v>
      </c>
      <c r="C12" s="160">
        <v>1.268</v>
      </c>
      <c r="D12" s="100"/>
      <c r="E12" s="199">
        <v>1.601</v>
      </c>
      <c r="F12" s="96"/>
      <c r="G12" s="142"/>
      <c r="H12" s="164">
        <v>1.268</v>
      </c>
      <c r="I12" s="96"/>
      <c r="J12" s="206">
        <v>0.85</v>
      </c>
      <c r="K12" s="96">
        <v>2</v>
      </c>
    </row>
    <row r="13" spans="2:11" x14ac:dyDescent="0.25">
      <c r="B13" s="142"/>
      <c r="C13" s="167">
        <v>1.2769999999999999</v>
      </c>
      <c r="D13" s="100"/>
      <c r="E13" s="200">
        <v>1.33</v>
      </c>
      <c r="F13" s="96"/>
      <c r="G13" s="142"/>
      <c r="H13" s="164">
        <v>1.268</v>
      </c>
      <c r="I13" s="96"/>
      <c r="J13" s="197">
        <v>1.2689999999999999</v>
      </c>
      <c r="K13" s="95"/>
    </row>
    <row r="14" spans="2:11" x14ac:dyDescent="0.25">
      <c r="B14" s="142"/>
      <c r="C14" s="167">
        <v>1.2549999999999999</v>
      </c>
      <c r="D14" s="100"/>
      <c r="E14" s="200">
        <v>1.2769999999999999</v>
      </c>
      <c r="F14" s="96"/>
      <c r="G14" s="142"/>
      <c r="H14" s="164">
        <v>1.268</v>
      </c>
      <c r="I14" s="96"/>
      <c r="J14" s="203">
        <v>1.2689999999999999</v>
      </c>
      <c r="K14" s="95"/>
    </row>
    <row r="15" spans="2:11" ht="15.75" thickBot="1" x14ac:dyDescent="0.3">
      <c r="B15" s="143"/>
      <c r="C15" s="168">
        <v>2.5379999999999998</v>
      </c>
      <c r="D15" s="100"/>
      <c r="E15" s="201">
        <v>1.27</v>
      </c>
      <c r="F15" s="96">
        <v>4</v>
      </c>
      <c r="G15" s="142"/>
      <c r="H15" s="164">
        <v>1.268</v>
      </c>
      <c r="I15" s="96"/>
      <c r="J15" s="203">
        <v>1.2689999999999999</v>
      </c>
      <c r="K15" s="95"/>
    </row>
    <row r="16" spans="2:11" x14ac:dyDescent="0.25">
      <c r="B16" s="141" t="s">
        <v>80</v>
      </c>
      <c r="C16" s="160">
        <v>1.2669999999999999</v>
      </c>
      <c r="D16" s="100"/>
      <c r="E16" s="197">
        <v>1.268</v>
      </c>
      <c r="G16" s="142"/>
      <c r="H16" s="164">
        <v>1.2230000000000001</v>
      </c>
      <c r="I16" s="96"/>
      <c r="J16" s="203">
        <v>1.2689999999999999</v>
      </c>
      <c r="K16" s="95"/>
    </row>
    <row r="17" spans="2:11" ht="15.75" thickBot="1" x14ac:dyDescent="0.3">
      <c r="B17" s="142"/>
      <c r="C17" s="167">
        <v>1.605</v>
      </c>
      <c r="D17" s="100"/>
      <c r="E17" s="202">
        <v>1.2669999999999999</v>
      </c>
      <c r="G17" s="142"/>
      <c r="H17" s="164">
        <v>1.1000000000000001</v>
      </c>
      <c r="I17" s="96"/>
      <c r="J17" s="198">
        <v>0.83799999999999997</v>
      </c>
      <c r="K17" s="95">
        <v>3</v>
      </c>
    </row>
    <row r="18" spans="2:11" x14ac:dyDescent="0.25">
      <c r="B18" s="142"/>
      <c r="C18" s="167">
        <v>1.26</v>
      </c>
      <c r="D18" s="100"/>
      <c r="E18" s="202">
        <v>1.266</v>
      </c>
      <c r="G18" s="142"/>
      <c r="H18" s="164">
        <v>0.97799999999999998</v>
      </c>
      <c r="I18" s="96"/>
      <c r="J18" s="199">
        <v>1.2689999999999999</v>
      </c>
      <c r="K18" s="95"/>
    </row>
    <row r="19" spans="2:11" ht="15.75" thickBot="1" x14ac:dyDescent="0.3">
      <c r="B19" s="143"/>
      <c r="C19" s="176">
        <v>2.8730000000000002</v>
      </c>
      <c r="D19" s="100"/>
      <c r="E19" s="203">
        <v>1.26</v>
      </c>
      <c r="F19" s="96">
        <v>5</v>
      </c>
      <c r="G19" s="142"/>
      <c r="H19" s="164">
        <v>0.85599999999999998</v>
      </c>
      <c r="I19" s="96"/>
      <c r="J19" s="200">
        <v>1.2689999999999999</v>
      </c>
      <c r="K19" s="95"/>
    </row>
    <row r="20" spans="2:11" x14ac:dyDescent="0.25">
      <c r="B20" s="141" t="s">
        <v>81</v>
      </c>
      <c r="C20" s="160">
        <v>1.2430000000000001</v>
      </c>
      <c r="D20" s="100"/>
      <c r="E20" s="199">
        <v>1.2549999999999999</v>
      </c>
      <c r="G20" s="142"/>
      <c r="H20" s="164">
        <v>0.73399999999999999</v>
      </c>
      <c r="I20" s="96"/>
      <c r="J20" s="200">
        <v>1.2689999999999999</v>
      </c>
      <c r="K20" s="95"/>
    </row>
    <row r="21" spans="2:11" x14ac:dyDescent="0.25">
      <c r="B21" s="142"/>
      <c r="C21" s="167">
        <v>1.2430000000000001</v>
      </c>
      <c r="D21" s="100"/>
      <c r="E21" s="200">
        <v>1.25</v>
      </c>
      <c r="G21" s="142"/>
      <c r="H21" s="164">
        <v>0.61099999999999999</v>
      </c>
      <c r="I21" s="96"/>
      <c r="J21" s="200">
        <v>1.268</v>
      </c>
      <c r="K21" s="95"/>
    </row>
    <row r="22" spans="2:11" ht="15.75" thickBot="1" x14ac:dyDescent="0.3">
      <c r="B22" s="143"/>
      <c r="C22" s="176">
        <v>1.266</v>
      </c>
      <c r="D22" s="100"/>
      <c r="E22" s="200">
        <v>1.2470000000000001</v>
      </c>
      <c r="G22" s="142"/>
      <c r="H22" s="164">
        <v>0.48899999999999999</v>
      </c>
      <c r="I22" s="96"/>
      <c r="J22" s="201">
        <v>0.82599999999999996</v>
      </c>
      <c r="K22" s="95">
        <v>4</v>
      </c>
    </row>
    <row r="23" spans="2:11" ht="15.75" thickBot="1" x14ac:dyDescent="0.3">
      <c r="B23" s="144" t="s">
        <v>82</v>
      </c>
      <c r="C23" s="160">
        <v>1.33</v>
      </c>
      <c r="D23" s="100"/>
      <c r="E23" s="201">
        <v>1.2430000000000001</v>
      </c>
      <c r="F23" s="96">
        <v>6</v>
      </c>
      <c r="G23" s="142"/>
      <c r="H23" s="164">
        <v>0.36699999999999999</v>
      </c>
      <c r="I23" s="96"/>
      <c r="J23" s="197">
        <v>1.268</v>
      </c>
    </row>
    <row r="24" spans="2:11" x14ac:dyDescent="0.25">
      <c r="B24" s="177"/>
      <c r="C24" s="167">
        <v>0.23400000000000001</v>
      </c>
      <c r="D24" s="100"/>
      <c r="E24" s="197">
        <v>1.2430000000000001</v>
      </c>
      <c r="F24" s="96"/>
      <c r="G24" s="142"/>
      <c r="H24" s="164">
        <v>0.245</v>
      </c>
      <c r="I24" s="96"/>
      <c r="J24" s="203">
        <v>1.268</v>
      </c>
    </row>
    <row r="25" spans="2:11" ht="15.75" thickBot="1" x14ac:dyDescent="0.3">
      <c r="B25" s="177"/>
      <c r="C25" s="167">
        <v>1.131</v>
      </c>
      <c r="D25" s="100"/>
      <c r="E25" s="202">
        <v>1.2170000000000001</v>
      </c>
      <c r="F25" s="96"/>
      <c r="G25" s="143"/>
      <c r="H25" s="169">
        <v>0.122</v>
      </c>
      <c r="I25" s="96"/>
      <c r="J25" s="203">
        <v>1.268</v>
      </c>
    </row>
    <row r="26" spans="2:11" ht="15.75" thickBot="1" x14ac:dyDescent="0.3">
      <c r="B26" s="178"/>
      <c r="C26" s="176">
        <v>1.601</v>
      </c>
      <c r="D26" s="100"/>
      <c r="E26" s="202">
        <v>1.2170000000000001</v>
      </c>
      <c r="F26" s="96"/>
      <c r="G26" s="144" t="s">
        <v>78</v>
      </c>
      <c r="H26" s="162">
        <v>1.2689999999999999</v>
      </c>
      <c r="I26" s="96"/>
      <c r="J26" s="203">
        <v>1.268</v>
      </c>
    </row>
    <row r="27" spans="2:11" ht="15.75" thickBot="1" x14ac:dyDescent="0.3">
      <c r="B27" s="144" t="s">
        <v>83</v>
      </c>
      <c r="C27" s="160">
        <v>1.2170000000000001</v>
      </c>
      <c r="D27" s="100"/>
      <c r="E27" s="203">
        <v>1.1739999999999999</v>
      </c>
      <c r="F27" s="96"/>
      <c r="G27" s="146"/>
      <c r="H27" s="164">
        <v>1.2689999999999999</v>
      </c>
      <c r="I27" s="96"/>
      <c r="J27" s="198">
        <v>0.73399999999999999</v>
      </c>
      <c r="K27" s="96">
        <v>5</v>
      </c>
    </row>
    <row r="28" spans="2:11" ht="15.75" thickBot="1" x14ac:dyDescent="0.3">
      <c r="B28" s="146"/>
      <c r="C28" s="167">
        <v>1.2170000000000001</v>
      </c>
      <c r="D28" s="100"/>
      <c r="E28" s="204">
        <v>1.1220000000000001</v>
      </c>
      <c r="F28" s="96">
        <v>7</v>
      </c>
      <c r="G28" s="146"/>
      <c r="H28" s="164">
        <v>1.2689999999999999</v>
      </c>
      <c r="I28" s="96"/>
      <c r="J28" s="199">
        <v>1.268</v>
      </c>
    </row>
    <row r="29" spans="2:11" x14ac:dyDescent="0.25">
      <c r="B29" s="146"/>
      <c r="C29" s="167">
        <v>1.1739999999999999</v>
      </c>
      <c r="D29" s="100"/>
      <c r="E29" s="199">
        <v>1.1739999999999999</v>
      </c>
      <c r="F29" s="96"/>
      <c r="G29" s="146"/>
      <c r="H29" s="164">
        <v>1.2689999999999999</v>
      </c>
      <c r="I29" s="96"/>
      <c r="J29" s="200">
        <v>1.268</v>
      </c>
    </row>
    <row r="30" spans="2:11" ht="15.75" thickBot="1" x14ac:dyDescent="0.3">
      <c r="B30" s="178"/>
      <c r="C30" s="168">
        <v>1.1739999999999999</v>
      </c>
      <c r="D30" s="100"/>
      <c r="E30" s="201">
        <v>1.131</v>
      </c>
      <c r="F30" s="96">
        <v>8</v>
      </c>
      <c r="G30" s="146"/>
      <c r="H30" s="164">
        <v>1.2689999999999999</v>
      </c>
      <c r="I30" s="96"/>
      <c r="J30" s="200">
        <v>1.268</v>
      </c>
    </row>
    <row r="31" spans="2:11" ht="15.75" thickBot="1" x14ac:dyDescent="0.3">
      <c r="C31" s="100">
        <f>SUM(C3:C30)</f>
        <v>40.356999999999992</v>
      </c>
      <c r="D31" s="100"/>
      <c r="G31" s="146"/>
      <c r="H31" s="164">
        <v>1.2689999999999999</v>
      </c>
      <c r="I31" s="96"/>
      <c r="J31" s="200">
        <v>1.268</v>
      </c>
    </row>
    <row r="32" spans="2:11" ht="15.75" thickBot="1" x14ac:dyDescent="0.3">
      <c r="C32" s="100"/>
      <c r="D32" s="100"/>
      <c r="E32" s="159" t="s">
        <v>90</v>
      </c>
      <c r="G32" s="146"/>
      <c r="H32" s="164">
        <v>1.2689999999999999</v>
      </c>
      <c r="I32" s="96"/>
      <c r="J32" s="200">
        <v>0.72799999999999998</v>
      </c>
    </row>
    <row r="33" spans="2:11" ht="15.75" thickBot="1" x14ac:dyDescent="0.3">
      <c r="C33" s="100"/>
      <c r="D33" s="100"/>
      <c r="G33" s="146"/>
      <c r="H33" s="164">
        <v>1.2689999999999999</v>
      </c>
      <c r="I33" s="96"/>
      <c r="J33" s="207">
        <v>0.122</v>
      </c>
      <c r="K33" s="96">
        <v>6</v>
      </c>
    </row>
    <row r="34" spans="2:11" x14ac:dyDescent="0.25">
      <c r="B34" s="157"/>
      <c r="C34" s="100"/>
      <c r="D34" s="100"/>
      <c r="G34" s="146"/>
      <c r="H34" s="164">
        <v>1.2689999999999999</v>
      </c>
      <c r="I34" s="96"/>
      <c r="J34" s="197">
        <v>1.268</v>
      </c>
    </row>
    <row r="35" spans="2:11" x14ac:dyDescent="0.25">
      <c r="B35" s="157"/>
      <c r="C35" s="100"/>
      <c r="D35" s="100"/>
      <c r="E35" s="100"/>
      <c r="G35" s="146"/>
      <c r="H35" s="164">
        <v>1.2689999999999999</v>
      </c>
      <c r="I35" s="96"/>
      <c r="J35" s="203">
        <v>1.268</v>
      </c>
    </row>
    <row r="36" spans="2:11" x14ac:dyDescent="0.25">
      <c r="B36" s="157"/>
      <c r="C36" s="100"/>
      <c r="D36" s="100"/>
      <c r="E36" s="100"/>
      <c r="G36" s="146"/>
      <c r="H36" s="164">
        <v>1.2689999999999999</v>
      </c>
      <c r="I36" s="96"/>
      <c r="J36" s="203">
        <v>1.2669999999999999</v>
      </c>
    </row>
    <row r="37" spans="2:11" x14ac:dyDescent="0.25">
      <c r="B37" s="157"/>
      <c r="C37" s="100"/>
      <c r="D37" s="100"/>
      <c r="E37" s="100"/>
      <c r="G37" s="146"/>
      <c r="H37" s="164">
        <v>1.2689999999999999</v>
      </c>
      <c r="I37" s="96"/>
      <c r="J37" s="203">
        <v>1.2669999999999999</v>
      </c>
    </row>
    <row r="38" spans="2:11" x14ac:dyDescent="0.25">
      <c r="B38" s="157"/>
      <c r="C38" s="100"/>
      <c r="D38" s="100"/>
      <c r="E38" s="100"/>
      <c r="G38" s="146"/>
      <c r="H38" s="164">
        <v>1.2689999999999999</v>
      </c>
      <c r="I38" s="96"/>
      <c r="J38" s="203">
        <v>0.71799999999999997</v>
      </c>
    </row>
    <row r="39" spans="2:11" ht="15.75" thickBot="1" x14ac:dyDescent="0.3">
      <c r="B39" s="157"/>
      <c r="C39" s="100"/>
      <c r="D39" s="100"/>
      <c r="E39" s="100"/>
      <c r="G39" s="146"/>
      <c r="H39" s="164">
        <v>1.2689999999999999</v>
      </c>
      <c r="I39" s="96"/>
      <c r="J39" s="204">
        <v>0.121</v>
      </c>
      <c r="K39" s="96">
        <v>7</v>
      </c>
    </row>
    <row r="40" spans="2:11" x14ac:dyDescent="0.25">
      <c r="B40" s="157"/>
      <c r="C40" s="100"/>
      <c r="D40" s="100"/>
      <c r="E40" s="100"/>
      <c r="G40" s="146"/>
      <c r="H40" s="164">
        <v>1.2689999999999999</v>
      </c>
      <c r="I40" s="96"/>
      <c r="J40" s="199">
        <v>1.2669999999999999</v>
      </c>
    </row>
    <row r="41" spans="2:11" x14ac:dyDescent="0.25">
      <c r="B41" s="157"/>
      <c r="C41" s="100"/>
      <c r="D41" s="100"/>
      <c r="E41" s="100"/>
      <c r="G41" s="146"/>
      <c r="H41" s="164">
        <v>1.18</v>
      </c>
      <c r="I41" s="96"/>
      <c r="J41" s="200">
        <v>1.2669999999999999</v>
      </c>
    </row>
    <row r="42" spans="2:11" x14ac:dyDescent="0.25">
      <c r="B42" s="157"/>
      <c r="C42" s="100"/>
      <c r="D42" s="100"/>
      <c r="E42" s="100"/>
      <c r="G42" s="146"/>
      <c r="H42" s="164">
        <v>1.0620000000000001</v>
      </c>
      <c r="I42" s="96"/>
      <c r="J42" s="200">
        <v>1.2669999999999999</v>
      </c>
    </row>
    <row r="43" spans="2:11" x14ac:dyDescent="0.25">
      <c r="B43" s="157"/>
      <c r="C43" s="100"/>
      <c r="D43" s="100"/>
      <c r="E43" s="100"/>
      <c r="G43" s="146"/>
      <c r="H43" s="164">
        <v>0.94399999999999995</v>
      </c>
      <c r="I43" s="96"/>
      <c r="J43" s="200">
        <v>1.2669999999999999</v>
      </c>
    </row>
    <row r="44" spans="2:11" x14ac:dyDescent="0.25">
      <c r="B44" s="157"/>
      <c r="C44" s="100"/>
      <c r="D44" s="100"/>
      <c r="E44" s="100"/>
      <c r="G44" s="146"/>
      <c r="H44" s="164">
        <v>0.82599999999999996</v>
      </c>
      <c r="I44" s="96"/>
      <c r="J44" s="200">
        <v>0.70799999999999996</v>
      </c>
    </row>
    <row r="45" spans="2:11" ht="15.75" thickBot="1" x14ac:dyDescent="0.3">
      <c r="B45" s="157"/>
      <c r="C45" s="100"/>
      <c r="D45" s="100"/>
      <c r="E45" s="100"/>
      <c r="G45" s="146"/>
      <c r="H45" s="164">
        <v>0.70799999999999996</v>
      </c>
      <c r="I45" s="96"/>
      <c r="J45" s="207">
        <v>0.12</v>
      </c>
      <c r="K45" s="96">
        <v>8</v>
      </c>
    </row>
    <row r="46" spans="2:11" x14ac:dyDescent="0.25">
      <c r="B46" s="157"/>
      <c r="C46" s="100"/>
      <c r="D46" s="100"/>
      <c r="E46" s="100"/>
      <c r="G46" s="146"/>
      <c r="H46" s="164">
        <v>0.59</v>
      </c>
      <c r="I46" s="96"/>
      <c r="J46" s="197">
        <v>1.2669999999999999</v>
      </c>
    </row>
    <row r="47" spans="2:11" x14ac:dyDescent="0.25">
      <c r="B47" s="157"/>
      <c r="G47" s="146"/>
      <c r="H47" s="164">
        <v>0.47199999999999998</v>
      </c>
      <c r="I47" s="96"/>
      <c r="J47" s="203">
        <v>1.2669999999999999</v>
      </c>
    </row>
    <row r="48" spans="2:11" x14ac:dyDescent="0.25">
      <c r="B48" s="157"/>
      <c r="C48" s="97"/>
      <c r="D48" s="97"/>
      <c r="E48" s="97"/>
      <c r="G48" s="146"/>
      <c r="H48" s="164">
        <v>0.35399999999999998</v>
      </c>
      <c r="I48" s="96"/>
      <c r="J48" s="203">
        <v>1.2669999999999999</v>
      </c>
    </row>
    <row r="49" spans="2:12" x14ac:dyDescent="0.25">
      <c r="B49" s="157"/>
      <c r="G49" s="146"/>
      <c r="H49" s="164">
        <v>0.23599999999999999</v>
      </c>
      <c r="I49" s="96"/>
      <c r="J49" s="203">
        <v>1.2669999999999999</v>
      </c>
      <c r="L49" t="s">
        <v>69</v>
      </c>
    </row>
    <row r="50" spans="2:12" ht="15.75" thickBot="1" x14ac:dyDescent="0.3">
      <c r="B50" s="157"/>
      <c r="G50" s="145"/>
      <c r="H50" s="165">
        <v>0.11799999999999999</v>
      </c>
      <c r="I50" s="96"/>
      <c r="J50" s="203">
        <v>0.61099999999999999</v>
      </c>
    </row>
    <row r="51" spans="2:12" ht="15.75" thickBot="1" x14ac:dyDescent="0.3">
      <c r="G51" s="141" t="s">
        <v>79</v>
      </c>
      <c r="H51" s="162">
        <v>1.2669999999999999</v>
      </c>
      <c r="I51" s="96"/>
      <c r="J51" s="205">
        <v>0.23599999999999999</v>
      </c>
      <c r="K51" s="96">
        <v>9</v>
      </c>
    </row>
    <row r="52" spans="2:12" x14ac:dyDescent="0.25">
      <c r="G52" s="142"/>
      <c r="H52" s="164">
        <v>1.2669999999999999</v>
      </c>
      <c r="I52" s="96"/>
      <c r="J52" s="199">
        <v>1.266</v>
      </c>
    </row>
    <row r="53" spans="2:12" x14ac:dyDescent="0.25">
      <c r="G53" s="142"/>
      <c r="H53" s="164">
        <v>1.2669999999999999</v>
      </c>
      <c r="I53" s="96"/>
      <c r="J53" s="200">
        <v>1.266</v>
      </c>
    </row>
    <row r="54" spans="2:12" x14ac:dyDescent="0.25">
      <c r="G54" s="142"/>
      <c r="H54" s="164">
        <v>1.2669999999999999</v>
      </c>
      <c r="I54" s="96"/>
      <c r="J54" s="200">
        <v>1.266</v>
      </c>
    </row>
    <row r="55" spans="2:12" x14ac:dyDescent="0.25">
      <c r="G55" s="142"/>
      <c r="H55" s="164">
        <v>1.2669999999999999</v>
      </c>
      <c r="I55" s="96"/>
      <c r="J55" s="200">
        <v>1.266</v>
      </c>
    </row>
    <row r="56" spans="2:12" x14ac:dyDescent="0.25">
      <c r="G56" s="142"/>
      <c r="H56" s="164">
        <v>1.2669999999999999</v>
      </c>
      <c r="I56" s="96"/>
      <c r="J56" s="206">
        <v>0.60699999999999998</v>
      </c>
    </row>
    <row r="57" spans="2:12" ht="15.75" thickBot="1" x14ac:dyDescent="0.3">
      <c r="G57" s="142"/>
      <c r="H57" s="164">
        <v>1.2669999999999999</v>
      </c>
      <c r="I57" s="96"/>
      <c r="J57" s="206">
        <v>0.11799999999999999</v>
      </c>
      <c r="K57" s="96">
        <v>10</v>
      </c>
    </row>
    <row r="58" spans="2:12" x14ac:dyDescent="0.25">
      <c r="G58" s="142"/>
      <c r="H58" s="164">
        <v>1.2669999999999999</v>
      </c>
      <c r="I58" s="96"/>
      <c r="J58" s="197">
        <v>1.266</v>
      </c>
    </row>
    <row r="59" spans="2:12" x14ac:dyDescent="0.25">
      <c r="G59" s="142"/>
      <c r="H59" s="164">
        <v>1.2669999999999999</v>
      </c>
      <c r="I59" s="96"/>
      <c r="J59" s="203">
        <v>1.266</v>
      </c>
    </row>
    <row r="60" spans="2:12" x14ac:dyDescent="0.25">
      <c r="G60" s="142"/>
      <c r="H60" s="164">
        <v>1.2669999999999999</v>
      </c>
      <c r="I60" s="96"/>
      <c r="J60" s="203">
        <v>1.266</v>
      </c>
    </row>
    <row r="61" spans="2:12" x14ac:dyDescent="0.25">
      <c r="G61" s="142"/>
      <c r="H61" s="164">
        <v>1.214</v>
      </c>
      <c r="I61" s="96"/>
      <c r="J61" s="203">
        <v>1.266</v>
      </c>
    </row>
    <row r="62" spans="2:12" x14ac:dyDescent="0.25">
      <c r="G62" s="142"/>
      <c r="H62" s="164">
        <v>1.0920000000000001</v>
      </c>
      <c r="I62" s="96"/>
      <c r="J62" s="203">
        <v>0.59799999999999998</v>
      </c>
    </row>
    <row r="63" spans="2:12" ht="15.75" thickBot="1" x14ac:dyDescent="0.3">
      <c r="G63" s="142"/>
      <c r="H63" s="164">
        <v>0.97099999999999997</v>
      </c>
      <c r="I63" s="96"/>
      <c r="J63" s="198">
        <v>0.23899999999999999</v>
      </c>
      <c r="K63" s="96">
        <v>11</v>
      </c>
    </row>
    <row r="64" spans="2:12" x14ac:dyDescent="0.25">
      <c r="G64" s="142"/>
      <c r="H64" s="164">
        <v>0.85</v>
      </c>
      <c r="I64" s="96"/>
      <c r="J64" s="199">
        <v>1.266</v>
      </c>
    </row>
    <row r="65" spans="7:11" x14ac:dyDescent="0.25">
      <c r="G65" s="142"/>
      <c r="H65" s="164">
        <v>0.72799999999999998</v>
      </c>
      <c r="I65" s="96"/>
      <c r="J65" s="200">
        <v>1.266</v>
      </c>
    </row>
    <row r="66" spans="7:11" x14ac:dyDescent="0.25">
      <c r="G66" s="142"/>
      <c r="H66" s="164">
        <v>0.60699999999999998</v>
      </c>
      <c r="I66" s="96"/>
      <c r="J66" s="200">
        <v>1.266</v>
      </c>
    </row>
    <row r="67" spans="7:11" x14ac:dyDescent="0.25">
      <c r="G67" s="142"/>
      <c r="H67" s="164">
        <v>0.48599999999999999</v>
      </c>
      <c r="I67" s="96"/>
      <c r="J67" s="200">
        <v>1.266</v>
      </c>
    </row>
    <row r="68" spans="7:11" x14ac:dyDescent="0.25">
      <c r="G68" s="142"/>
      <c r="H68" s="164">
        <v>0.36399999999999999</v>
      </c>
      <c r="I68" s="96"/>
      <c r="J68" s="206">
        <v>0.59</v>
      </c>
    </row>
    <row r="69" spans="7:11" ht="15.75" thickBot="1" x14ac:dyDescent="0.3">
      <c r="G69" s="142"/>
      <c r="H69" s="164">
        <v>0.24199999999999999</v>
      </c>
      <c r="I69" s="96"/>
      <c r="J69" s="201">
        <v>0.245</v>
      </c>
      <c r="K69" s="95">
        <v>12</v>
      </c>
    </row>
    <row r="70" spans="7:11" ht="15.75" thickBot="1" x14ac:dyDescent="0.3">
      <c r="G70" s="143"/>
      <c r="H70" s="169">
        <v>0.121</v>
      </c>
      <c r="I70" s="96"/>
      <c r="J70" s="197">
        <v>1.266</v>
      </c>
    </row>
    <row r="71" spans="7:11" x14ac:dyDescent="0.25">
      <c r="G71" s="141" t="s">
        <v>80</v>
      </c>
      <c r="H71" s="162">
        <v>1.266</v>
      </c>
      <c r="I71" s="96"/>
      <c r="J71" s="203">
        <v>1.2649999999999999</v>
      </c>
    </row>
    <row r="72" spans="7:11" x14ac:dyDescent="0.25">
      <c r="G72" s="142"/>
      <c r="H72" s="164">
        <v>1.266</v>
      </c>
      <c r="I72" s="96"/>
      <c r="J72" s="203">
        <v>1.2649999999999999</v>
      </c>
    </row>
    <row r="73" spans="7:11" x14ac:dyDescent="0.25">
      <c r="G73" s="142"/>
      <c r="H73" s="164">
        <v>1.266</v>
      </c>
      <c r="I73" s="96"/>
      <c r="J73" s="203">
        <v>1.2649999999999999</v>
      </c>
    </row>
    <row r="74" spans="7:11" x14ac:dyDescent="0.25">
      <c r="G74" s="142"/>
      <c r="H74" s="164">
        <v>1.266</v>
      </c>
      <c r="I74" s="96"/>
      <c r="J74" s="203">
        <v>0.53900000000000003</v>
      </c>
    </row>
    <row r="75" spans="7:11" ht="15.75" thickBot="1" x14ac:dyDescent="0.3">
      <c r="G75" s="142"/>
      <c r="H75" s="164">
        <v>1.266</v>
      </c>
      <c r="I75" s="96"/>
      <c r="J75" s="198">
        <v>0.36699999999999999</v>
      </c>
      <c r="K75" s="95">
        <v>13</v>
      </c>
    </row>
    <row r="76" spans="7:11" x14ac:dyDescent="0.25">
      <c r="G76" s="170"/>
      <c r="H76" s="164">
        <v>1.266</v>
      </c>
      <c r="I76" s="96"/>
      <c r="J76" s="199">
        <v>1.2649999999999999</v>
      </c>
    </row>
    <row r="77" spans="7:11" x14ac:dyDescent="0.25">
      <c r="G77" s="170"/>
      <c r="H77" s="164">
        <v>1.266</v>
      </c>
      <c r="I77" s="96"/>
      <c r="J77" s="200">
        <v>1.2649999999999999</v>
      </c>
    </row>
    <row r="78" spans="7:11" x14ac:dyDescent="0.25">
      <c r="G78" s="170"/>
      <c r="H78" s="164">
        <v>1.266</v>
      </c>
      <c r="I78" s="96"/>
      <c r="J78" s="200">
        <v>1.2649999999999999</v>
      </c>
    </row>
    <row r="79" spans="7:11" x14ac:dyDescent="0.25">
      <c r="G79" s="170"/>
      <c r="H79" s="164">
        <v>1.266</v>
      </c>
      <c r="I79" s="96"/>
      <c r="J79" s="200">
        <v>1.2649999999999999</v>
      </c>
    </row>
    <row r="80" spans="7:11" x14ac:dyDescent="0.25">
      <c r="G80" s="170"/>
      <c r="H80" s="164">
        <v>1.266</v>
      </c>
      <c r="I80" s="96"/>
      <c r="J80" s="206">
        <v>0.48899999999999999</v>
      </c>
    </row>
    <row r="81" spans="7:11" ht="15.75" thickBot="1" x14ac:dyDescent="0.3">
      <c r="G81" s="170"/>
      <c r="H81" s="164">
        <v>1.266</v>
      </c>
      <c r="I81" s="96"/>
      <c r="J81" s="200">
        <v>0.36399999999999999</v>
      </c>
      <c r="K81" s="96">
        <v>14</v>
      </c>
    </row>
    <row r="82" spans="7:11" x14ac:dyDescent="0.25">
      <c r="G82" s="170"/>
      <c r="H82" s="164">
        <v>1.266</v>
      </c>
      <c r="I82" s="96"/>
      <c r="J82" s="197">
        <v>1.2649999999999999</v>
      </c>
    </row>
    <row r="83" spans="7:11" x14ac:dyDescent="0.25">
      <c r="G83" s="170"/>
      <c r="H83" s="164">
        <v>1.266</v>
      </c>
      <c r="I83" s="96"/>
      <c r="J83" s="203">
        <v>1.2649999999999999</v>
      </c>
    </row>
    <row r="84" spans="7:11" x14ac:dyDescent="0.25">
      <c r="G84" s="170"/>
      <c r="H84" s="164">
        <v>1.1970000000000001</v>
      </c>
      <c r="I84" s="96"/>
      <c r="J84" s="203">
        <v>1.2649999999999999</v>
      </c>
    </row>
    <row r="85" spans="7:11" x14ac:dyDescent="0.25">
      <c r="G85" s="170"/>
      <c r="H85" s="164">
        <v>1.077</v>
      </c>
      <c r="I85" s="96"/>
      <c r="J85" s="202">
        <v>1.244</v>
      </c>
    </row>
    <row r="86" spans="7:11" ht="15.75" thickBot="1" x14ac:dyDescent="0.3">
      <c r="G86" s="170"/>
      <c r="H86" s="164">
        <v>0.95699999999999996</v>
      </c>
      <c r="I86" s="96"/>
      <c r="J86" s="198">
        <v>0.94399999999999995</v>
      </c>
      <c r="K86" s="95">
        <v>15</v>
      </c>
    </row>
    <row r="87" spans="7:11" x14ac:dyDescent="0.25">
      <c r="G87" s="170"/>
      <c r="H87" s="164">
        <v>0.83799999999999997</v>
      </c>
      <c r="I87" s="96"/>
      <c r="J87" s="199">
        <v>1.2230000000000001</v>
      </c>
    </row>
    <row r="88" spans="7:11" x14ac:dyDescent="0.25">
      <c r="G88" s="170"/>
      <c r="H88" s="164">
        <v>0.71799999999999997</v>
      </c>
      <c r="I88" s="96"/>
      <c r="J88" s="200">
        <v>1.214</v>
      </c>
    </row>
    <row r="89" spans="7:11" x14ac:dyDescent="0.25">
      <c r="G89" s="170"/>
      <c r="H89" s="164">
        <v>0.59799999999999998</v>
      </c>
      <c r="I89" s="96"/>
      <c r="J89" s="200">
        <v>1.1970000000000001</v>
      </c>
    </row>
    <row r="90" spans="7:11" x14ac:dyDescent="0.25">
      <c r="G90" s="170"/>
      <c r="H90" s="164">
        <v>0.47899999999999998</v>
      </c>
      <c r="I90" s="96"/>
      <c r="J90" s="206">
        <v>1.1830000000000001</v>
      </c>
    </row>
    <row r="91" spans="7:11" ht="15.75" thickBot="1" x14ac:dyDescent="0.3">
      <c r="G91" s="170"/>
      <c r="H91" s="164">
        <v>0.53900000000000003</v>
      </c>
      <c r="I91" s="96"/>
      <c r="J91" s="200">
        <v>1.18</v>
      </c>
      <c r="K91" s="96">
        <v>16</v>
      </c>
    </row>
    <row r="92" spans="7:11" x14ac:dyDescent="0.25">
      <c r="G92" s="170"/>
      <c r="H92" s="164">
        <v>0.23899999999999999</v>
      </c>
      <c r="I92" s="96"/>
      <c r="J92" s="197">
        <v>1.1739999999999999</v>
      </c>
    </row>
    <row r="93" spans="7:11" ht="15.75" thickBot="1" x14ac:dyDescent="0.3">
      <c r="G93" s="171"/>
      <c r="H93" s="169">
        <v>0.12</v>
      </c>
      <c r="I93" s="96"/>
      <c r="J93" s="203">
        <v>1.1739999999999999</v>
      </c>
    </row>
    <row r="94" spans="7:11" x14ac:dyDescent="0.25">
      <c r="G94" s="141" t="s">
        <v>81</v>
      </c>
      <c r="H94" s="162">
        <v>1.2649999999999999</v>
      </c>
      <c r="I94" s="96"/>
      <c r="J94" s="203">
        <v>1.1739999999999999</v>
      </c>
    </row>
    <row r="95" spans="7:11" x14ac:dyDescent="0.25">
      <c r="G95" s="170"/>
      <c r="H95" s="164">
        <v>1.2649999999999999</v>
      </c>
      <c r="I95" s="96"/>
      <c r="J95" s="202">
        <v>1.1739999999999999</v>
      </c>
    </row>
    <row r="96" spans="7:11" ht="15.75" thickBot="1" x14ac:dyDescent="0.3">
      <c r="G96" s="170"/>
      <c r="H96" s="164">
        <v>1.2649999999999999</v>
      </c>
      <c r="I96" s="96"/>
      <c r="J96" s="203">
        <v>1.1739999999999999</v>
      </c>
      <c r="K96">
        <v>17</v>
      </c>
    </row>
    <row r="97" spans="7:11" x14ac:dyDescent="0.25">
      <c r="G97" s="170"/>
      <c r="H97" s="164">
        <v>1.2649999999999999</v>
      </c>
      <c r="I97" s="96"/>
      <c r="J97" s="199">
        <v>1.1739999999999999</v>
      </c>
    </row>
    <row r="98" spans="7:11" x14ac:dyDescent="0.25">
      <c r="G98" s="170"/>
      <c r="H98" s="164">
        <v>1.2649999999999999</v>
      </c>
      <c r="I98" s="96"/>
      <c r="J98" s="200">
        <v>1.1739999999999999</v>
      </c>
    </row>
    <row r="99" spans="7:11" x14ac:dyDescent="0.25">
      <c r="G99" s="170"/>
      <c r="H99" s="164">
        <v>1.2649999999999999</v>
      </c>
      <c r="I99" s="96"/>
      <c r="J99" s="200">
        <v>1.1739999999999999</v>
      </c>
    </row>
    <row r="100" spans="7:11" x14ac:dyDescent="0.25">
      <c r="G100" s="170"/>
      <c r="H100" s="164">
        <v>1.2649999999999999</v>
      </c>
      <c r="I100" s="96"/>
      <c r="J100" s="206">
        <v>1.1739999999999999</v>
      </c>
    </row>
    <row r="101" spans="7:11" ht="15.75" thickBot="1" x14ac:dyDescent="0.3">
      <c r="G101" s="170"/>
      <c r="H101" s="164">
        <v>1.2649999999999999</v>
      </c>
      <c r="I101" s="96"/>
      <c r="J101" s="200">
        <v>1.1739999999999999</v>
      </c>
      <c r="K101">
        <v>18</v>
      </c>
    </row>
    <row r="102" spans="7:11" x14ac:dyDescent="0.25">
      <c r="G102" s="170"/>
      <c r="H102" s="164">
        <v>1.2649999999999999</v>
      </c>
      <c r="I102" s="96"/>
      <c r="J102" s="197">
        <v>1.1739999999999999</v>
      </c>
    </row>
    <row r="103" spans="7:11" ht="15.75" thickBot="1" x14ac:dyDescent="0.3">
      <c r="G103" s="170"/>
      <c r="H103" s="169">
        <v>1.2649999999999999</v>
      </c>
      <c r="I103" s="96"/>
      <c r="J103" s="203">
        <v>1.1000000000000001</v>
      </c>
    </row>
    <row r="104" spans="7:11" x14ac:dyDescent="0.25">
      <c r="G104" s="141" t="s">
        <v>83</v>
      </c>
      <c r="H104" s="162">
        <v>1.1739999999999999</v>
      </c>
      <c r="I104" s="96"/>
      <c r="J104" s="203">
        <v>1.0920000000000001</v>
      </c>
    </row>
    <row r="105" spans="7:11" x14ac:dyDescent="0.25">
      <c r="G105" s="170"/>
      <c r="H105" s="164">
        <v>1.1739999999999999</v>
      </c>
      <c r="I105" s="96"/>
      <c r="J105" s="202">
        <v>1.077</v>
      </c>
    </row>
    <row r="106" spans="7:11" x14ac:dyDescent="0.25">
      <c r="G106" s="170"/>
      <c r="H106" s="164">
        <v>1.1739999999999999</v>
      </c>
      <c r="I106" s="96"/>
      <c r="J106" s="202">
        <v>1.0620000000000001</v>
      </c>
    </row>
    <row r="107" spans="7:11" ht="15.75" thickBot="1" x14ac:dyDescent="0.3">
      <c r="G107" s="170"/>
      <c r="H107" s="164">
        <v>1.1739999999999999</v>
      </c>
      <c r="I107" s="96"/>
      <c r="J107" s="203">
        <v>0.47199999999999998</v>
      </c>
      <c r="K107">
        <v>19</v>
      </c>
    </row>
    <row r="108" spans="7:11" x14ac:dyDescent="0.25">
      <c r="G108" s="170"/>
      <c r="H108" s="164">
        <v>1.1739999999999999</v>
      </c>
      <c r="I108" s="96"/>
      <c r="J108" s="199">
        <v>0.97799999999999998</v>
      </c>
    </row>
    <row r="109" spans="7:11" x14ac:dyDescent="0.25">
      <c r="G109" s="170"/>
      <c r="H109" s="164">
        <v>1.1739999999999999</v>
      </c>
      <c r="I109" s="96"/>
      <c r="J109" s="200">
        <v>0.97099999999999997</v>
      </c>
    </row>
    <row r="110" spans="7:11" x14ac:dyDescent="0.25">
      <c r="G110" s="170"/>
      <c r="H110" s="164">
        <v>1.1739999999999999</v>
      </c>
      <c r="I110" s="96"/>
      <c r="J110" s="200">
        <v>0.95699999999999996</v>
      </c>
    </row>
    <row r="111" spans="7:11" x14ac:dyDescent="0.25">
      <c r="G111" s="170"/>
      <c r="H111" s="164">
        <v>1.1739999999999999</v>
      </c>
      <c r="I111" s="96"/>
      <c r="J111" s="206">
        <v>0.48599999999999999</v>
      </c>
    </row>
    <row r="112" spans="7:11" x14ac:dyDescent="0.25">
      <c r="G112" s="170"/>
      <c r="H112" s="164">
        <v>1.1739999999999999</v>
      </c>
      <c r="I112" s="96"/>
      <c r="J112" s="200">
        <v>0.47899999999999998</v>
      </c>
    </row>
    <row r="113" spans="7:11" x14ac:dyDescent="0.25">
      <c r="G113" s="170"/>
      <c r="H113" s="164">
        <v>1.1739999999999999</v>
      </c>
      <c r="I113" s="96"/>
      <c r="J113" s="208">
        <v>0.35399999999999998</v>
      </c>
    </row>
    <row r="114" spans="7:11" ht="15.75" thickBot="1" x14ac:dyDescent="0.3">
      <c r="G114" s="171"/>
      <c r="H114" s="165">
        <v>1.1739999999999999</v>
      </c>
      <c r="I114" s="96"/>
      <c r="J114" s="201">
        <v>0.24199999999999999</v>
      </c>
      <c r="K114">
        <v>20</v>
      </c>
    </row>
    <row r="115" spans="7:11" ht="15.75" thickBot="1" x14ac:dyDescent="0.3">
      <c r="H115">
        <f>SUM(H3:H114)</f>
        <v>116.75400000000016</v>
      </c>
    </row>
    <row r="116" spans="7:11" ht="15.75" thickBot="1" x14ac:dyDescent="0.3">
      <c r="J116" s="209" t="s">
        <v>91</v>
      </c>
    </row>
  </sheetData>
  <sortState xmlns:xlrd2="http://schemas.microsoft.com/office/spreadsheetml/2017/richdata2" ref="J2:J118">
    <sortCondition descending="1" ref="J2:J118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87655-784D-4E21-AB8B-A228E7C5EC7F}">
  <sheetPr codeName="Sheet3"/>
  <dimension ref="B1:P232"/>
  <sheetViews>
    <sheetView topLeftCell="B1" workbookViewId="0">
      <selection activeCell="G3" sqref="G3:G10"/>
    </sheetView>
  </sheetViews>
  <sheetFormatPr defaultRowHeight="15" x14ac:dyDescent="0.25"/>
  <cols>
    <col min="2" max="2" width="4.140625" customWidth="1"/>
    <col min="3" max="3" width="6.28515625" customWidth="1"/>
    <col min="4" max="4" width="40.42578125" customWidth="1"/>
    <col min="5" max="5" width="29" customWidth="1"/>
    <col min="6" max="6" width="15.28515625" customWidth="1"/>
    <col min="7" max="7" width="21.42578125" customWidth="1"/>
    <col min="8" max="8" width="11" customWidth="1"/>
    <col min="10" max="10" width="21.5703125" customWidth="1"/>
    <col min="16" max="16" width="10" customWidth="1"/>
  </cols>
  <sheetData>
    <row r="1" spans="2:16" ht="15.75" thickBot="1" x14ac:dyDescent="0.3">
      <c r="B1" s="100"/>
      <c r="H1" s="94"/>
      <c r="P1" s="94"/>
    </row>
    <row r="2" spans="2:16" ht="15.75" thickBot="1" x14ac:dyDescent="0.3">
      <c r="B2" s="82"/>
      <c r="D2" s="262" t="s">
        <v>114</v>
      </c>
      <c r="E2" s="263" t="s">
        <v>125</v>
      </c>
      <c r="G2" s="262" t="s">
        <v>116</v>
      </c>
      <c r="M2" s="89"/>
      <c r="P2" s="95"/>
    </row>
    <row r="3" spans="2:16" ht="15.75" thickBot="1" x14ac:dyDescent="0.3">
      <c r="B3" s="82"/>
      <c r="E3" s="135"/>
      <c r="F3" s="135"/>
      <c r="G3" s="279">
        <v>3.02</v>
      </c>
      <c r="H3" s="281"/>
      <c r="I3" s="281"/>
      <c r="J3" s="96"/>
      <c r="M3" s="89"/>
      <c r="P3" s="95"/>
    </row>
    <row r="4" spans="2:16" ht="26.25" thickBot="1" x14ac:dyDescent="0.3">
      <c r="B4" s="82"/>
      <c r="C4" s="93"/>
      <c r="D4" s="262" t="s">
        <v>115</v>
      </c>
      <c r="E4" s="261" t="str">
        <f>MID(E2,SEARCH("(",E2)+1,SEARCH(")",E2)-SEARCH("(",E2)-1)</f>
        <v>3.02+0.93+0.107+0.948+0.991+0.944+0.982*2</v>
      </c>
      <c r="F4" s="96"/>
      <c r="G4" s="280">
        <v>0.93</v>
      </c>
      <c r="H4" s="281"/>
      <c r="I4" s="281"/>
      <c r="M4" s="89"/>
      <c r="P4" s="95"/>
    </row>
    <row r="5" spans="2:16" x14ac:dyDescent="0.25">
      <c r="B5" s="82"/>
      <c r="C5" s="93"/>
      <c r="D5" s="92"/>
      <c r="E5" s="100"/>
      <c r="F5" s="96"/>
      <c r="G5" s="280">
        <v>0.107</v>
      </c>
      <c r="H5" s="281"/>
      <c r="I5" s="282"/>
      <c r="J5" s="96"/>
      <c r="K5" s="93"/>
      <c r="M5" s="89"/>
      <c r="P5" s="95"/>
    </row>
    <row r="6" spans="2:16" x14ac:dyDescent="0.25">
      <c r="B6" s="82"/>
      <c r="C6" s="93"/>
      <c r="D6" s="92"/>
      <c r="F6" s="96"/>
      <c r="G6" s="280">
        <v>0.94799999999999995</v>
      </c>
      <c r="H6" s="281"/>
      <c r="I6" s="282"/>
      <c r="J6" s="96"/>
      <c r="M6" s="89"/>
      <c r="P6" s="95"/>
    </row>
    <row r="7" spans="2:16" x14ac:dyDescent="0.25">
      <c r="B7" s="82"/>
      <c r="C7" s="93"/>
      <c r="D7" s="92"/>
      <c r="E7" s="96"/>
      <c r="F7" s="96"/>
      <c r="G7" s="280">
        <v>0.99099999999999999</v>
      </c>
      <c r="H7" s="281"/>
      <c r="I7" s="282"/>
      <c r="J7" s="96"/>
      <c r="M7" s="89"/>
      <c r="P7" s="95"/>
    </row>
    <row r="8" spans="2:16" x14ac:dyDescent="0.25">
      <c r="B8" s="82"/>
      <c r="C8" s="93"/>
      <c r="D8" s="92"/>
      <c r="E8" s="96"/>
      <c r="F8" s="96"/>
      <c r="G8" s="280">
        <v>0.94399999999999995</v>
      </c>
      <c r="H8" s="281"/>
      <c r="I8" s="282"/>
      <c r="J8" s="96"/>
      <c r="M8" s="89"/>
      <c r="P8" s="95"/>
    </row>
    <row r="9" spans="2:16" x14ac:dyDescent="0.25">
      <c r="B9" s="82"/>
      <c r="C9" s="93"/>
      <c r="D9" s="92"/>
      <c r="E9" s="96"/>
      <c r="F9" s="96"/>
      <c r="G9" s="280">
        <v>0.98199999999999998</v>
      </c>
      <c r="H9" s="281"/>
      <c r="I9" s="282"/>
      <c r="J9" s="93"/>
      <c r="M9" s="89"/>
      <c r="P9" s="95"/>
    </row>
    <row r="10" spans="2:16" x14ac:dyDescent="0.25">
      <c r="B10" s="82"/>
      <c r="C10" s="93"/>
      <c r="D10" s="92"/>
      <c r="E10" s="96"/>
      <c r="F10" s="96"/>
      <c r="G10" s="280">
        <v>0.98199999999999998</v>
      </c>
      <c r="H10" s="281"/>
      <c r="I10" s="281"/>
      <c r="J10" s="93"/>
      <c r="M10" s="89"/>
      <c r="P10" s="95"/>
    </row>
    <row r="11" spans="2:16" x14ac:dyDescent="0.25">
      <c r="B11" s="82"/>
      <c r="C11" s="93"/>
      <c r="D11" s="92"/>
      <c r="E11" s="96"/>
      <c r="F11" s="96"/>
      <c r="G11" s="280"/>
      <c r="H11" s="281"/>
      <c r="I11" s="281"/>
      <c r="J11" s="96"/>
      <c r="M11" s="89"/>
      <c r="P11" s="95"/>
    </row>
    <row r="12" spans="2:16" x14ac:dyDescent="0.25">
      <c r="B12" s="82"/>
      <c r="C12" s="93"/>
      <c r="D12" s="92"/>
      <c r="E12" s="96"/>
      <c r="F12" s="96"/>
      <c r="G12" s="280"/>
      <c r="H12" s="281"/>
      <c r="I12" s="282"/>
      <c r="J12" s="96"/>
      <c r="M12" s="89"/>
      <c r="P12" s="95"/>
    </row>
    <row r="13" spans="2:16" x14ac:dyDescent="0.25">
      <c r="B13" s="82"/>
      <c r="C13" s="93"/>
      <c r="D13" s="92"/>
      <c r="E13" s="96"/>
      <c r="F13" s="96"/>
      <c r="G13" s="96"/>
      <c r="H13" s="281"/>
      <c r="I13" s="282"/>
      <c r="J13" s="96"/>
      <c r="M13" s="89"/>
      <c r="P13" s="95"/>
    </row>
    <row r="14" spans="2:16" ht="18.75" x14ac:dyDescent="0.3">
      <c r="C14" s="93"/>
      <c r="D14" s="92"/>
      <c r="E14" s="96"/>
      <c r="F14" s="96"/>
      <c r="G14" s="96"/>
      <c r="H14" s="281"/>
      <c r="J14" s="96"/>
      <c r="K14" s="98"/>
      <c r="M14" s="89"/>
      <c r="P14" s="95"/>
    </row>
    <row r="15" spans="2:16" ht="18.75" x14ac:dyDescent="0.3">
      <c r="C15" s="93"/>
      <c r="D15" s="92"/>
      <c r="E15" s="96"/>
      <c r="F15" s="96"/>
      <c r="G15" s="96"/>
      <c r="H15" s="281"/>
      <c r="I15" s="282"/>
      <c r="J15" s="96"/>
      <c r="K15" s="98"/>
      <c r="M15" s="89"/>
      <c r="P15" s="95"/>
    </row>
    <row r="16" spans="2:16" ht="18.75" x14ac:dyDescent="0.3">
      <c r="C16" s="93"/>
      <c r="D16" s="82"/>
      <c r="E16" s="96"/>
      <c r="F16" s="96"/>
      <c r="G16" s="96"/>
      <c r="I16" s="93"/>
      <c r="J16" s="96"/>
      <c r="K16" s="98"/>
      <c r="M16" s="89"/>
      <c r="P16" s="95"/>
    </row>
    <row r="17" spans="3:16" x14ac:dyDescent="0.25">
      <c r="C17" s="93"/>
      <c r="D17" s="82"/>
      <c r="E17" s="96"/>
      <c r="F17" s="96"/>
      <c r="G17" s="96"/>
      <c r="J17" s="96"/>
      <c r="M17" s="89"/>
      <c r="P17" s="95"/>
    </row>
    <row r="18" spans="3:16" x14ac:dyDescent="0.25">
      <c r="C18" s="93"/>
      <c r="D18" s="82"/>
      <c r="E18" s="96"/>
      <c r="G18" s="96"/>
      <c r="J18" s="96"/>
      <c r="M18" s="89"/>
      <c r="P18" s="95"/>
    </row>
    <row r="19" spans="3:16" x14ac:dyDescent="0.25">
      <c r="C19" s="93"/>
      <c r="D19" s="82"/>
      <c r="E19" s="96"/>
      <c r="F19" s="96"/>
      <c r="G19" s="96"/>
      <c r="J19" s="96"/>
      <c r="M19" s="89"/>
      <c r="P19" s="95"/>
    </row>
    <row r="20" spans="3:16" x14ac:dyDescent="0.25">
      <c r="C20" s="93"/>
      <c r="D20" s="82"/>
      <c r="E20" s="96"/>
      <c r="F20" s="96"/>
      <c r="G20" s="96"/>
      <c r="J20" s="96"/>
      <c r="M20" s="89"/>
      <c r="P20" s="95"/>
    </row>
    <row r="21" spans="3:16" x14ac:dyDescent="0.25">
      <c r="C21" s="93"/>
      <c r="D21" s="82"/>
      <c r="E21" s="96"/>
      <c r="F21" s="96"/>
      <c r="G21" s="96"/>
      <c r="J21" s="96"/>
      <c r="M21" s="89"/>
      <c r="P21" s="95"/>
    </row>
    <row r="22" spans="3:16" x14ac:dyDescent="0.25">
      <c r="D22" s="82"/>
      <c r="E22" s="96"/>
      <c r="F22" s="96"/>
      <c r="G22" s="96"/>
      <c r="J22" s="96"/>
      <c r="M22" s="89"/>
      <c r="P22" s="95"/>
    </row>
    <row r="23" spans="3:16" x14ac:dyDescent="0.25">
      <c r="D23" s="82"/>
      <c r="E23" s="96"/>
      <c r="F23" s="96"/>
      <c r="G23" s="96"/>
      <c r="J23" s="96"/>
      <c r="M23" s="89"/>
      <c r="P23" s="95"/>
    </row>
    <row r="24" spans="3:16" x14ac:dyDescent="0.25">
      <c r="D24" s="82"/>
      <c r="E24" s="96"/>
      <c r="F24" s="96"/>
      <c r="G24" s="96"/>
      <c r="J24" s="96"/>
      <c r="M24" s="89"/>
      <c r="P24" s="95"/>
    </row>
    <row r="25" spans="3:16" x14ac:dyDescent="0.25">
      <c r="D25" s="82"/>
      <c r="E25" s="96"/>
      <c r="F25" s="96"/>
      <c r="G25" s="96"/>
      <c r="J25" s="96"/>
      <c r="M25" s="89"/>
      <c r="P25" s="95"/>
    </row>
    <row r="26" spans="3:16" x14ac:dyDescent="0.25">
      <c r="D26" s="82"/>
      <c r="F26" s="96"/>
      <c r="G26" s="96"/>
      <c r="J26" s="96"/>
      <c r="M26" s="89"/>
      <c r="P26" s="95"/>
    </row>
    <row r="27" spans="3:16" x14ac:dyDescent="0.25">
      <c r="D27" s="82"/>
      <c r="E27" s="96"/>
      <c r="F27" s="96"/>
      <c r="G27" s="96"/>
      <c r="M27" s="89"/>
      <c r="P27" s="95"/>
    </row>
    <row r="28" spans="3:16" x14ac:dyDescent="0.25">
      <c r="D28" s="82"/>
      <c r="E28" s="96"/>
      <c r="F28" s="96"/>
      <c r="G28" s="96"/>
      <c r="M28" s="89"/>
      <c r="N28" s="99"/>
      <c r="P28" s="95"/>
    </row>
    <row r="29" spans="3:16" x14ac:dyDescent="0.25">
      <c r="D29" s="82"/>
      <c r="E29" s="96"/>
      <c r="F29" s="96"/>
      <c r="G29" s="96"/>
      <c r="M29" s="89"/>
      <c r="P29" s="95"/>
    </row>
    <row r="30" spans="3:16" x14ac:dyDescent="0.25">
      <c r="D30" s="82"/>
      <c r="E30" s="96"/>
      <c r="F30" s="96"/>
      <c r="G30" s="96"/>
      <c r="M30" s="89"/>
      <c r="P30" s="95"/>
    </row>
    <row r="31" spans="3:16" x14ac:dyDescent="0.25">
      <c r="D31" s="82"/>
      <c r="E31" s="96"/>
      <c r="F31" s="96"/>
      <c r="G31" s="96"/>
      <c r="M31" s="89"/>
      <c r="P31" s="95"/>
    </row>
    <row r="32" spans="3:16" x14ac:dyDescent="0.25">
      <c r="D32" s="82"/>
      <c r="E32" s="96"/>
      <c r="F32" s="96"/>
      <c r="G32" s="96"/>
      <c r="M32" s="89"/>
      <c r="P32" s="95"/>
    </row>
    <row r="33" spans="3:16" x14ac:dyDescent="0.25">
      <c r="D33" s="82"/>
      <c r="E33" s="96"/>
      <c r="F33" s="96"/>
      <c r="G33" s="96"/>
      <c r="I33" s="266"/>
      <c r="M33" s="89"/>
      <c r="P33" s="95"/>
    </row>
    <row r="34" spans="3:16" x14ac:dyDescent="0.25">
      <c r="E34" s="96"/>
      <c r="F34" s="96"/>
      <c r="G34" s="96"/>
      <c r="M34" s="89"/>
      <c r="P34" s="95"/>
    </row>
    <row r="35" spans="3:16" x14ac:dyDescent="0.25">
      <c r="C35" s="100"/>
      <c r="D35" s="96"/>
      <c r="E35" s="96"/>
      <c r="F35" s="96"/>
      <c r="G35" s="96"/>
      <c r="M35" s="89"/>
      <c r="P35" s="95"/>
    </row>
    <row r="36" spans="3:16" x14ac:dyDescent="0.25">
      <c r="D36" s="96"/>
      <c r="E36" s="96"/>
      <c r="F36" s="96"/>
      <c r="G36" s="96"/>
      <c r="M36" s="89"/>
      <c r="P36" s="95"/>
    </row>
    <row r="37" spans="3:16" x14ac:dyDescent="0.25">
      <c r="C37" s="100"/>
      <c r="D37" s="96"/>
      <c r="E37" s="96"/>
      <c r="F37" s="96"/>
      <c r="G37" s="96"/>
      <c r="M37" s="89"/>
      <c r="P37" s="95"/>
    </row>
    <row r="38" spans="3:16" x14ac:dyDescent="0.25">
      <c r="D38" s="96"/>
      <c r="E38" s="96"/>
      <c r="F38" s="96"/>
      <c r="G38" s="96"/>
      <c r="M38" s="89"/>
      <c r="P38" s="95"/>
    </row>
    <row r="39" spans="3:16" x14ac:dyDescent="0.25">
      <c r="C39" s="100"/>
      <c r="E39" s="96"/>
      <c r="F39" s="96"/>
      <c r="G39" s="96"/>
      <c r="M39" s="89"/>
      <c r="P39" s="95"/>
    </row>
    <row r="40" spans="3:16" x14ac:dyDescent="0.25">
      <c r="E40" s="96"/>
      <c r="F40" s="96"/>
      <c r="G40" s="96"/>
      <c r="M40" s="89"/>
      <c r="P40" s="95"/>
    </row>
    <row r="41" spans="3:16" x14ac:dyDescent="0.25">
      <c r="E41" s="96"/>
      <c r="F41" s="96"/>
      <c r="G41" s="96"/>
      <c r="M41" s="89"/>
      <c r="P41" s="95"/>
    </row>
    <row r="42" spans="3:16" x14ac:dyDescent="0.25">
      <c r="E42" s="96"/>
      <c r="F42" s="96"/>
      <c r="G42" s="96"/>
      <c r="M42" s="89"/>
      <c r="P42" s="95"/>
    </row>
    <row r="43" spans="3:16" x14ac:dyDescent="0.25">
      <c r="E43" s="96"/>
      <c r="F43" s="96"/>
      <c r="G43" s="96"/>
      <c r="M43" s="89"/>
      <c r="P43" s="95"/>
    </row>
    <row r="44" spans="3:16" x14ac:dyDescent="0.25">
      <c r="D44" s="96"/>
      <c r="E44" s="96"/>
      <c r="F44" s="96"/>
      <c r="G44" s="96"/>
      <c r="M44" s="89"/>
      <c r="P44" s="95"/>
    </row>
    <row r="45" spans="3:16" x14ac:dyDescent="0.25">
      <c r="F45" s="96"/>
      <c r="G45" s="96"/>
      <c r="J45" s="97"/>
      <c r="M45" s="89"/>
      <c r="P45" s="95"/>
    </row>
    <row r="46" spans="3:16" x14ac:dyDescent="0.25">
      <c r="D46" s="96"/>
      <c r="G46" s="96"/>
      <c r="M46" s="89"/>
      <c r="P46" s="95"/>
    </row>
    <row r="47" spans="3:16" x14ac:dyDescent="0.25">
      <c r="F47" s="100"/>
      <c r="G47" s="96"/>
      <c r="M47" s="89"/>
    </row>
    <row r="48" spans="3:16" x14ac:dyDescent="0.25">
      <c r="G48" s="96"/>
      <c r="M48" s="89"/>
    </row>
    <row r="49" spans="4:13" x14ac:dyDescent="0.25">
      <c r="D49" s="96"/>
      <c r="F49" s="118"/>
      <c r="G49" s="96"/>
      <c r="M49" s="89"/>
    </row>
    <row r="50" spans="4:13" x14ac:dyDescent="0.25">
      <c r="F50" s="118"/>
      <c r="G50" s="96"/>
      <c r="M50" s="89"/>
    </row>
    <row r="51" spans="4:13" x14ac:dyDescent="0.25">
      <c r="G51" s="96"/>
      <c r="M51" s="89"/>
    </row>
    <row r="52" spans="4:13" x14ac:dyDescent="0.25">
      <c r="F52" s="118"/>
      <c r="G52" s="96"/>
      <c r="M52" s="89"/>
    </row>
    <row r="53" spans="4:13" x14ac:dyDescent="0.25">
      <c r="F53" s="118"/>
      <c r="G53" s="96"/>
      <c r="M53" s="89"/>
    </row>
    <row r="54" spans="4:13" x14ac:dyDescent="0.25">
      <c r="F54" s="118"/>
      <c r="G54" s="96"/>
      <c r="M54" s="89"/>
    </row>
    <row r="55" spans="4:13" x14ac:dyDescent="0.25">
      <c r="F55" s="118"/>
      <c r="G55" s="96"/>
      <c r="M55" s="89"/>
    </row>
    <row r="56" spans="4:13" x14ac:dyDescent="0.25">
      <c r="F56" s="118"/>
      <c r="G56" s="96"/>
      <c r="M56" s="89"/>
    </row>
    <row r="57" spans="4:13" x14ac:dyDescent="0.25">
      <c r="G57" s="96"/>
      <c r="M57" s="89"/>
    </row>
    <row r="58" spans="4:13" x14ac:dyDescent="0.25">
      <c r="F58" s="118"/>
      <c r="G58" s="96"/>
      <c r="M58" s="89"/>
    </row>
    <row r="59" spans="4:13" x14ac:dyDescent="0.25">
      <c r="F59" s="118"/>
      <c r="G59" s="96"/>
      <c r="M59" s="89"/>
    </row>
    <row r="60" spans="4:13" x14ac:dyDescent="0.25">
      <c r="F60" s="126"/>
      <c r="G60" s="96"/>
      <c r="M60" s="89"/>
    </row>
    <row r="61" spans="4:13" x14ac:dyDescent="0.25">
      <c r="F61" s="118"/>
      <c r="G61" s="96"/>
      <c r="M61" s="89"/>
    </row>
    <row r="62" spans="4:13" x14ac:dyDescent="0.25">
      <c r="F62" s="126"/>
      <c r="G62" s="96"/>
      <c r="M62" s="89"/>
    </row>
    <row r="63" spans="4:13" x14ac:dyDescent="0.25">
      <c r="F63" s="126"/>
      <c r="G63" s="96"/>
      <c r="M63" s="89"/>
    </row>
    <row r="64" spans="4:13" x14ac:dyDescent="0.25">
      <c r="F64" s="118"/>
      <c r="G64" s="96"/>
      <c r="M64" s="89"/>
    </row>
    <row r="65" spans="5:13" x14ac:dyDescent="0.25">
      <c r="F65" s="118"/>
      <c r="G65" s="96"/>
      <c r="M65" s="89"/>
    </row>
    <row r="66" spans="5:13" x14ac:dyDescent="0.25">
      <c r="F66" s="118"/>
      <c r="G66" s="96"/>
    </row>
    <row r="67" spans="5:13" x14ac:dyDescent="0.25">
      <c r="F67" s="118"/>
      <c r="G67" s="96"/>
    </row>
    <row r="68" spans="5:13" x14ac:dyDescent="0.25">
      <c r="F68" s="118"/>
      <c r="G68" s="96"/>
    </row>
    <row r="69" spans="5:13" x14ac:dyDescent="0.25">
      <c r="E69" s="118"/>
      <c r="F69" s="118"/>
      <c r="G69" s="96"/>
    </row>
    <row r="70" spans="5:13" x14ac:dyDescent="0.25">
      <c r="F70" s="118"/>
      <c r="G70" s="96"/>
    </row>
    <row r="71" spans="5:13" x14ac:dyDescent="0.25">
      <c r="F71" s="118"/>
      <c r="G71" s="96"/>
    </row>
    <row r="72" spans="5:13" x14ac:dyDescent="0.25">
      <c r="F72" s="118"/>
      <c r="G72" s="96"/>
    </row>
    <row r="73" spans="5:13" x14ac:dyDescent="0.25">
      <c r="F73" s="118"/>
      <c r="G73" s="96"/>
    </row>
    <row r="74" spans="5:13" x14ac:dyDescent="0.25">
      <c r="F74" s="118"/>
      <c r="G74" s="96"/>
    </row>
    <row r="75" spans="5:13" x14ac:dyDescent="0.25">
      <c r="F75" s="118"/>
      <c r="G75" s="96"/>
    </row>
    <row r="76" spans="5:13" x14ac:dyDescent="0.25">
      <c r="F76" s="118"/>
      <c r="G76" s="96"/>
    </row>
    <row r="77" spans="5:13" x14ac:dyDescent="0.25">
      <c r="F77" s="96"/>
      <c r="G77" s="96"/>
    </row>
    <row r="78" spans="5:13" x14ac:dyDescent="0.25">
      <c r="F78" s="96"/>
      <c r="G78" s="96"/>
    </row>
    <row r="79" spans="5:13" x14ac:dyDescent="0.25">
      <c r="F79" s="96"/>
      <c r="G79" s="96"/>
    </row>
    <row r="80" spans="5:13" x14ac:dyDescent="0.25">
      <c r="F80" s="96"/>
      <c r="G80" s="96"/>
    </row>
    <row r="81" spans="5:7" x14ac:dyDescent="0.25">
      <c r="F81" s="96"/>
      <c r="G81" s="96"/>
    </row>
    <row r="82" spans="5:7" x14ac:dyDescent="0.25">
      <c r="F82" s="93"/>
      <c r="G82" s="96"/>
    </row>
    <row r="83" spans="5:7" x14ac:dyDescent="0.25">
      <c r="F83" s="93"/>
      <c r="G83" s="96"/>
    </row>
    <row r="84" spans="5:7" x14ac:dyDescent="0.25">
      <c r="F84" s="93"/>
      <c r="G84" s="96"/>
    </row>
    <row r="85" spans="5:7" x14ac:dyDescent="0.25">
      <c r="F85" s="93"/>
      <c r="G85" s="96"/>
    </row>
    <row r="86" spans="5:7" x14ac:dyDescent="0.25">
      <c r="F86" s="93"/>
      <c r="G86" s="96"/>
    </row>
    <row r="87" spans="5:7" x14ac:dyDescent="0.25">
      <c r="F87" s="96"/>
      <c r="G87" s="96"/>
    </row>
    <row r="88" spans="5:7" x14ac:dyDescent="0.25">
      <c r="F88" s="93"/>
      <c r="G88" s="96"/>
    </row>
    <row r="89" spans="5:7" x14ac:dyDescent="0.25">
      <c r="E89" s="83"/>
      <c r="G89" s="96"/>
    </row>
    <row r="90" spans="5:7" x14ac:dyDescent="0.25">
      <c r="F90" s="96"/>
      <c r="G90" s="96"/>
    </row>
    <row r="91" spans="5:7" x14ac:dyDescent="0.25">
      <c r="F91" s="96"/>
      <c r="G91" s="96"/>
    </row>
    <row r="92" spans="5:7" x14ac:dyDescent="0.25">
      <c r="G92" s="96"/>
    </row>
    <row r="93" spans="5:7" x14ac:dyDescent="0.25">
      <c r="G93" s="96"/>
    </row>
    <row r="94" spans="5:7" x14ac:dyDescent="0.25">
      <c r="G94" s="96"/>
    </row>
    <row r="95" spans="5:7" x14ac:dyDescent="0.25">
      <c r="F95" s="93"/>
      <c r="G95" s="96"/>
    </row>
    <row r="96" spans="5:7" x14ac:dyDescent="0.25">
      <c r="F96" s="96"/>
      <c r="G96" s="96"/>
    </row>
    <row r="97" spans="6:7" x14ac:dyDescent="0.25">
      <c r="F97" s="96"/>
      <c r="G97" s="96"/>
    </row>
    <row r="98" spans="6:7" x14ac:dyDescent="0.25">
      <c r="F98" s="96"/>
      <c r="G98" s="96"/>
    </row>
    <row r="99" spans="6:7" x14ac:dyDescent="0.25">
      <c r="F99" s="96"/>
      <c r="G99" s="96"/>
    </row>
    <row r="100" spans="6:7" x14ac:dyDescent="0.25">
      <c r="F100" s="95"/>
      <c r="G100" s="96"/>
    </row>
    <row r="101" spans="6:7" x14ac:dyDescent="0.25">
      <c r="F101" s="100"/>
      <c r="G101" s="96"/>
    </row>
    <row r="102" spans="6:7" x14ac:dyDescent="0.25">
      <c r="F102" s="93"/>
      <c r="G102" s="96"/>
    </row>
    <row r="103" spans="6:7" x14ac:dyDescent="0.25">
      <c r="F103" s="93"/>
      <c r="G103" s="96"/>
    </row>
    <row r="104" spans="6:7" x14ac:dyDescent="0.25">
      <c r="G104" s="96"/>
    </row>
    <row r="105" spans="6:7" x14ac:dyDescent="0.25">
      <c r="G105" s="96"/>
    </row>
    <row r="106" spans="6:7" x14ac:dyDescent="0.25">
      <c r="G106" s="96"/>
    </row>
    <row r="107" spans="6:7" x14ac:dyDescent="0.25">
      <c r="G107" s="96"/>
    </row>
    <row r="108" spans="6:7" x14ac:dyDescent="0.25">
      <c r="G108" s="96"/>
    </row>
    <row r="109" spans="6:7" x14ac:dyDescent="0.25">
      <c r="G109" s="96"/>
    </row>
    <row r="110" spans="6:7" x14ac:dyDescent="0.25">
      <c r="G110" s="96"/>
    </row>
    <row r="111" spans="6:7" x14ac:dyDescent="0.25">
      <c r="G111" s="96"/>
    </row>
    <row r="112" spans="6:7" x14ac:dyDescent="0.25">
      <c r="G112" s="96"/>
    </row>
    <row r="113" spans="7:7" x14ac:dyDescent="0.25">
      <c r="G113" s="96"/>
    </row>
    <row r="114" spans="7:7" x14ac:dyDescent="0.25">
      <c r="G114" s="96"/>
    </row>
    <row r="115" spans="7:7" x14ac:dyDescent="0.25">
      <c r="G115" s="96"/>
    </row>
    <row r="116" spans="7:7" x14ac:dyDescent="0.25">
      <c r="G116" s="96"/>
    </row>
    <row r="117" spans="7:7" x14ac:dyDescent="0.25">
      <c r="G117" s="96"/>
    </row>
    <row r="118" spans="7:7" x14ac:dyDescent="0.25">
      <c r="G118" s="96"/>
    </row>
    <row r="119" spans="7:7" x14ac:dyDescent="0.25">
      <c r="G119" s="96"/>
    </row>
    <row r="120" spans="7:7" x14ac:dyDescent="0.25">
      <c r="G120" s="96"/>
    </row>
    <row r="121" spans="7:7" x14ac:dyDescent="0.25">
      <c r="G121" s="96"/>
    </row>
    <row r="122" spans="7:7" x14ac:dyDescent="0.25">
      <c r="G122" s="96"/>
    </row>
    <row r="123" spans="7:7" x14ac:dyDescent="0.25">
      <c r="G123" s="96"/>
    </row>
    <row r="124" spans="7:7" x14ac:dyDescent="0.25">
      <c r="G124" s="96"/>
    </row>
    <row r="125" spans="7:7" x14ac:dyDescent="0.25">
      <c r="G125" s="96"/>
    </row>
    <row r="126" spans="7:7" x14ac:dyDescent="0.25">
      <c r="G126" s="96"/>
    </row>
    <row r="127" spans="7:7" x14ac:dyDescent="0.25">
      <c r="G127" s="96"/>
    </row>
    <row r="128" spans="7:7" x14ac:dyDescent="0.25">
      <c r="G128" s="96"/>
    </row>
    <row r="129" spans="7:9" x14ac:dyDescent="0.25">
      <c r="G129" s="96"/>
    </row>
    <row r="130" spans="7:9" x14ac:dyDescent="0.25">
      <c r="G130" s="96"/>
    </row>
    <row r="131" spans="7:9" x14ac:dyDescent="0.25">
      <c r="G131" s="96"/>
    </row>
    <row r="132" spans="7:9" x14ac:dyDescent="0.25">
      <c r="G132" s="96"/>
    </row>
    <row r="133" spans="7:9" x14ac:dyDescent="0.25">
      <c r="G133" s="96"/>
    </row>
    <row r="134" spans="7:9" x14ac:dyDescent="0.25">
      <c r="G134" s="96"/>
    </row>
    <row r="135" spans="7:9" x14ac:dyDescent="0.25">
      <c r="G135" s="96"/>
    </row>
    <row r="136" spans="7:9" x14ac:dyDescent="0.25">
      <c r="G136" s="96"/>
    </row>
    <row r="137" spans="7:9" x14ac:dyDescent="0.25">
      <c r="G137" s="96"/>
    </row>
    <row r="138" spans="7:9" x14ac:dyDescent="0.25">
      <c r="G138" s="96"/>
    </row>
    <row r="139" spans="7:9" x14ac:dyDescent="0.25">
      <c r="G139" s="96"/>
    </row>
    <row r="140" spans="7:9" x14ac:dyDescent="0.25">
      <c r="G140" s="96"/>
      <c r="I140" s="93"/>
    </row>
    <row r="141" spans="7:9" x14ac:dyDescent="0.25">
      <c r="G141" s="96"/>
      <c r="I141" s="93"/>
    </row>
    <row r="142" spans="7:9" x14ac:dyDescent="0.25">
      <c r="G142" s="96"/>
      <c r="I142" s="93"/>
    </row>
    <row r="143" spans="7:9" x14ac:dyDescent="0.25">
      <c r="G143" s="96"/>
      <c r="I143" s="93"/>
    </row>
    <row r="144" spans="7:9" x14ac:dyDescent="0.25">
      <c r="G144" s="96"/>
      <c r="I144" s="93"/>
    </row>
    <row r="145" spans="7:7" x14ac:dyDescent="0.25">
      <c r="G145" s="96"/>
    </row>
    <row r="146" spans="7:7" x14ac:dyDescent="0.25">
      <c r="G146" s="96"/>
    </row>
    <row r="147" spans="7:7" x14ac:dyDescent="0.25">
      <c r="G147" s="96"/>
    </row>
    <row r="148" spans="7:7" x14ac:dyDescent="0.25">
      <c r="G148" s="96"/>
    </row>
    <row r="149" spans="7:7" x14ac:dyDescent="0.25">
      <c r="G149" s="96"/>
    </row>
    <row r="150" spans="7:7" x14ac:dyDescent="0.25">
      <c r="G150" s="96"/>
    </row>
    <row r="151" spans="7:7" x14ac:dyDescent="0.25">
      <c r="G151" s="96"/>
    </row>
    <row r="152" spans="7:7" x14ac:dyDescent="0.25">
      <c r="G152" s="96"/>
    </row>
    <row r="153" spans="7:7" x14ac:dyDescent="0.25">
      <c r="G153" s="96"/>
    </row>
    <row r="154" spans="7:7" x14ac:dyDescent="0.25">
      <c r="G154" s="96"/>
    </row>
    <row r="155" spans="7:7" x14ac:dyDescent="0.25">
      <c r="G155" s="96"/>
    </row>
    <row r="156" spans="7:7" x14ac:dyDescent="0.25">
      <c r="G156" s="96"/>
    </row>
    <row r="157" spans="7:7" x14ac:dyDescent="0.25">
      <c r="G157" s="96"/>
    </row>
    <row r="158" spans="7:7" x14ac:dyDescent="0.25">
      <c r="G158" s="96"/>
    </row>
    <row r="159" spans="7:7" x14ac:dyDescent="0.25">
      <c r="G159" s="96"/>
    </row>
    <row r="160" spans="7:7" x14ac:dyDescent="0.25">
      <c r="G160" s="96"/>
    </row>
    <row r="161" spans="7:8" x14ac:dyDescent="0.25">
      <c r="G161" s="96"/>
    </row>
    <row r="162" spans="7:8" x14ac:dyDescent="0.25">
      <c r="G162" s="96"/>
    </row>
    <row r="163" spans="7:8" x14ac:dyDescent="0.25">
      <c r="G163" s="96"/>
    </row>
    <row r="164" spans="7:8" x14ac:dyDescent="0.25">
      <c r="G164" s="96"/>
    </row>
    <row r="165" spans="7:8" x14ac:dyDescent="0.25">
      <c r="G165" s="96"/>
    </row>
    <row r="166" spans="7:8" x14ac:dyDescent="0.25">
      <c r="G166" s="96"/>
    </row>
    <row r="167" spans="7:8" x14ac:dyDescent="0.25">
      <c r="G167" s="96"/>
    </row>
    <row r="168" spans="7:8" x14ac:dyDescent="0.25">
      <c r="G168" s="96"/>
    </row>
    <row r="169" spans="7:8" x14ac:dyDescent="0.25">
      <c r="G169" s="96"/>
    </row>
    <row r="170" spans="7:8" x14ac:dyDescent="0.25">
      <c r="G170" s="96"/>
    </row>
    <row r="171" spans="7:8" x14ac:dyDescent="0.25">
      <c r="G171" s="96"/>
    </row>
    <row r="172" spans="7:8" x14ac:dyDescent="0.25">
      <c r="G172" s="96"/>
    </row>
    <row r="173" spans="7:8" x14ac:dyDescent="0.25">
      <c r="G173" s="96"/>
    </row>
    <row r="174" spans="7:8" x14ac:dyDescent="0.25">
      <c r="G174" s="96"/>
    </row>
    <row r="175" spans="7:8" x14ac:dyDescent="0.25">
      <c r="G175" s="96"/>
    </row>
    <row r="176" spans="7:8" x14ac:dyDescent="0.25">
      <c r="G176" s="96"/>
      <c r="H176" s="96"/>
    </row>
    <row r="177" spans="7:8" x14ac:dyDescent="0.25">
      <c r="G177" s="100"/>
      <c r="H177" s="96"/>
    </row>
    <row r="178" spans="7:8" x14ac:dyDescent="0.25">
      <c r="G178" s="96"/>
      <c r="H178" s="96"/>
    </row>
    <row r="179" spans="7:8" x14ac:dyDescent="0.25">
      <c r="G179" s="96"/>
      <c r="H179" s="96"/>
    </row>
    <row r="180" spans="7:8" x14ac:dyDescent="0.25">
      <c r="G180" s="96"/>
      <c r="H180" s="96"/>
    </row>
    <row r="181" spans="7:8" x14ac:dyDescent="0.25">
      <c r="G181" s="96"/>
      <c r="H181" s="96"/>
    </row>
    <row r="182" spans="7:8" x14ac:dyDescent="0.25">
      <c r="G182" s="96"/>
      <c r="H182" s="96"/>
    </row>
    <row r="183" spans="7:8" x14ac:dyDescent="0.25">
      <c r="G183" s="96"/>
      <c r="H183" s="96"/>
    </row>
    <row r="184" spans="7:8" x14ac:dyDescent="0.25">
      <c r="G184" s="96"/>
      <c r="H184" s="96"/>
    </row>
    <row r="185" spans="7:8" x14ac:dyDescent="0.25">
      <c r="G185" s="96"/>
      <c r="H185" s="96"/>
    </row>
    <row r="186" spans="7:8" x14ac:dyDescent="0.25">
      <c r="G186" s="96"/>
      <c r="H186" s="96"/>
    </row>
    <row r="187" spans="7:8" x14ac:dyDescent="0.25">
      <c r="G187" s="96"/>
      <c r="H187" s="96"/>
    </row>
    <row r="188" spans="7:8" x14ac:dyDescent="0.25">
      <c r="G188" s="96"/>
      <c r="H188" s="96"/>
    </row>
    <row r="189" spans="7:8" x14ac:dyDescent="0.25">
      <c r="G189" s="96"/>
      <c r="H189" s="96"/>
    </row>
    <row r="190" spans="7:8" x14ac:dyDescent="0.25">
      <c r="G190" s="96"/>
      <c r="H190" s="96"/>
    </row>
    <row r="191" spans="7:8" x14ac:dyDescent="0.25">
      <c r="G191" s="96"/>
      <c r="H191" s="96"/>
    </row>
    <row r="192" spans="7:8" x14ac:dyDescent="0.25">
      <c r="G192" s="96"/>
      <c r="H192" s="96"/>
    </row>
    <row r="193" spans="3:8" x14ac:dyDescent="0.25">
      <c r="G193" s="96"/>
      <c r="H193" s="96"/>
    </row>
    <row r="194" spans="3:8" x14ac:dyDescent="0.25">
      <c r="G194" s="96"/>
      <c r="H194" s="96"/>
    </row>
    <row r="195" spans="3:8" x14ac:dyDescent="0.25">
      <c r="C195" s="93"/>
      <c r="G195" s="96"/>
      <c r="H195" s="96"/>
    </row>
    <row r="196" spans="3:8" x14ac:dyDescent="0.25">
      <c r="C196" s="93"/>
      <c r="G196" s="96"/>
      <c r="H196" s="96"/>
    </row>
    <row r="197" spans="3:8" x14ac:dyDescent="0.25">
      <c r="C197" s="93"/>
      <c r="G197" s="96"/>
      <c r="H197" s="96"/>
    </row>
    <row r="198" spans="3:8" x14ac:dyDescent="0.25">
      <c r="G198" s="96"/>
      <c r="H198" s="96"/>
    </row>
    <row r="199" spans="3:8" x14ac:dyDescent="0.25">
      <c r="G199" s="96"/>
      <c r="H199" s="96"/>
    </row>
    <row r="200" spans="3:8" x14ac:dyDescent="0.25">
      <c r="G200" s="96"/>
      <c r="H200" s="96"/>
    </row>
    <row r="201" spans="3:8" x14ac:dyDescent="0.25">
      <c r="G201" s="96"/>
      <c r="H201" s="96"/>
    </row>
    <row r="202" spans="3:8" x14ac:dyDescent="0.25">
      <c r="G202" s="96"/>
      <c r="H202" s="96"/>
    </row>
    <row r="203" spans="3:8" x14ac:dyDescent="0.25">
      <c r="G203" s="96"/>
      <c r="H203" s="96"/>
    </row>
    <row r="204" spans="3:8" x14ac:dyDescent="0.25">
      <c r="G204" s="96"/>
      <c r="H204" s="96"/>
    </row>
    <row r="205" spans="3:8" x14ac:dyDescent="0.25">
      <c r="G205" s="96"/>
      <c r="H205" s="96"/>
    </row>
    <row r="206" spans="3:8" x14ac:dyDescent="0.25">
      <c r="G206" s="96"/>
      <c r="H206" s="96"/>
    </row>
    <row r="207" spans="3:8" x14ac:dyDescent="0.25">
      <c r="G207" s="96"/>
      <c r="H207" s="96"/>
    </row>
    <row r="208" spans="3:8" x14ac:dyDescent="0.25">
      <c r="G208" s="96"/>
      <c r="H208" s="96"/>
    </row>
    <row r="209" spans="7:8" x14ac:dyDescent="0.25">
      <c r="G209" s="96"/>
      <c r="H209" s="96"/>
    </row>
    <row r="210" spans="7:8" x14ac:dyDescent="0.25">
      <c r="G210" s="96"/>
      <c r="H210" s="96"/>
    </row>
    <row r="211" spans="7:8" x14ac:dyDescent="0.25">
      <c r="G211" s="96"/>
      <c r="H211" s="96"/>
    </row>
    <row r="212" spans="7:8" x14ac:dyDescent="0.25">
      <c r="G212" s="96"/>
      <c r="H212" s="96"/>
    </row>
    <row r="213" spans="7:8" x14ac:dyDescent="0.25">
      <c r="G213" s="96"/>
      <c r="H213" s="96"/>
    </row>
    <row r="214" spans="7:8" x14ac:dyDescent="0.25">
      <c r="G214" s="96"/>
      <c r="H214" s="96"/>
    </row>
    <row r="215" spans="7:8" x14ac:dyDescent="0.25">
      <c r="G215" s="96"/>
      <c r="H215" s="96"/>
    </row>
    <row r="216" spans="7:8" x14ac:dyDescent="0.25">
      <c r="G216" s="96"/>
      <c r="H216" s="96"/>
    </row>
    <row r="217" spans="7:8" x14ac:dyDescent="0.25">
      <c r="G217" s="96"/>
      <c r="H217" s="96"/>
    </row>
    <row r="218" spans="7:8" x14ac:dyDescent="0.25">
      <c r="G218" s="96"/>
      <c r="H218" s="96"/>
    </row>
    <row r="219" spans="7:8" x14ac:dyDescent="0.25">
      <c r="G219" s="96"/>
      <c r="H219" s="96"/>
    </row>
    <row r="220" spans="7:8" x14ac:dyDescent="0.25">
      <c r="G220" s="96"/>
      <c r="H220" s="96"/>
    </row>
    <row r="221" spans="7:8" x14ac:dyDescent="0.25">
      <c r="G221" s="96"/>
      <c r="H221" s="96"/>
    </row>
    <row r="222" spans="7:8" x14ac:dyDescent="0.25">
      <c r="G222" s="96"/>
      <c r="H222" s="96"/>
    </row>
    <row r="223" spans="7:8" x14ac:dyDescent="0.25">
      <c r="G223" s="96"/>
      <c r="H223" s="96"/>
    </row>
    <row r="224" spans="7:8" x14ac:dyDescent="0.25">
      <c r="G224" s="96"/>
      <c r="H224" s="96"/>
    </row>
    <row r="225" spans="7:8" x14ac:dyDescent="0.25">
      <c r="G225" s="96"/>
      <c r="H225" s="96"/>
    </row>
    <row r="226" spans="7:8" x14ac:dyDescent="0.25">
      <c r="G226" s="96"/>
      <c r="H226" s="96"/>
    </row>
    <row r="227" spans="7:8" x14ac:dyDescent="0.25">
      <c r="G227" s="96"/>
      <c r="H227" s="96"/>
    </row>
    <row r="228" spans="7:8" x14ac:dyDescent="0.25">
      <c r="G228" s="96"/>
      <c r="H228" s="96"/>
    </row>
    <row r="229" spans="7:8" x14ac:dyDescent="0.25">
      <c r="G229" s="96"/>
      <c r="H229" s="96"/>
    </row>
    <row r="230" spans="7:8" x14ac:dyDescent="0.25">
      <c r="G230" s="96"/>
      <c r="H230" s="96"/>
    </row>
    <row r="231" spans="7:8" x14ac:dyDescent="0.25">
      <c r="G231" s="96"/>
      <c r="H231" s="96"/>
    </row>
    <row r="232" spans="7:8" x14ac:dyDescent="0.25">
      <c r="G232" s="96"/>
      <c r="H232" s="9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esparte_Formula_Click.Desparte_Formula_Click">
                <anchor moveWithCells="1" sizeWithCells="1">
                  <from>
                    <xdr:col>3</xdr:col>
                    <xdr:colOff>523875</xdr:colOff>
                    <xdr:row>4</xdr:row>
                    <xdr:rowOff>95250</xdr:rowOff>
                  </from>
                  <to>
                    <xdr:col>3</xdr:col>
                    <xdr:colOff>1666875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0E0B4-C60D-4540-B6A1-64E7B9EAA3F2}">
  <sheetPr codeName="Sheet4"/>
  <dimension ref="A1:J1123"/>
  <sheetViews>
    <sheetView tabSelected="1" workbookViewId="0">
      <selection activeCell="N9" sqref="N9"/>
    </sheetView>
  </sheetViews>
  <sheetFormatPr defaultRowHeight="15" x14ac:dyDescent="0.25"/>
  <cols>
    <col min="2" max="2" width="21.5703125" customWidth="1"/>
    <col min="4" max="4" width="14.28515625" customWidth="1"/>
    <col min="5" max="5" width="19.28515625" customWidth="1"/>
    <col min="6" max="6" width="17" customWidth="1"/>
    <col min="7" max="7" width="18.85546875" customWidth="1"/>
    <col min="8" max="8" width="18.42578125" customWidth="1"/>
    <col min="9" max="9" width="9.85546875" customWidth="1"/>
  </cols>
  <sheetData>
    <row r="1" spans="1:10" x14ac:dyDescent="0.25">
      <c r="A1" s="264" t="s">
        <v>122</v>
      </c>
    </row>
    <row r="2" spans="1:10" ht="15.75" thickBot="1" x14ac:dyDescent="0.3"/>
    <row r="3" spans="1:10" ht="15.75" thickBot="1" x14ac:dyDescent="0.3">
      <c r="A3" s="264" t="s">
        <v>123</v>
      </c>
      <c r="E3" s="267" t="s">
        <v>124</v>
      </c>
      <c r="F3" s="159" t="s">
        <v>117</v>
      </c>
      <c r="H3" s="159" t="s">
        <v>118</v>
      </c>
    </row>
    <row r="4" spans="1:10" ht="15.75" thickBot="1" x14ac:dyDescent="0.3">
      <c r="D4" s="281"/>
      <c r="E4" s="279"/>
      <c r="F4" s="280"/>
      <c r="G4" s="283"/>
      <c r="H4" s="280"/>
      <c r="I4" s="281"/>
      <c r="J4" s="281"/>
    </row>
    <row r="5" spans="1:10" ht="15.75" thickBot="1" x14ac:dyDescent="0.3">
      <c r="B5" s="159" t="s">
        <v>119</v>
      </c>
      <c r="C5" s="159">
        <v>6</v>
      </c>
      <c r="D5" s="281"/>
      <c r="E5" s="280"/>
      <c r="F5" s="280"/>
      <c r="G5" s="284"/>
      <c r="H5" s="280"/>
      <c r="I5" s="281"/>
      <c r="J5" s="281"/>
    </row>
    <row r="6" spans="1:10" ht="15.75" thickBot="1" x14ac:dyDescent="0.3">
      <c r="D6" s="280"/>
      <c r="E6" s="280"/>
      <c r="F6" s="280"/>
      <c r="G6" s="283"/>
      <c r="H6" s="280"/>
      <c r="I6" s="281"/>
      <c r="J6" s="281"/>
    </row>
    <row r="7" spans="1:10" ht="15.75" thickBot="1" x14ac:dyDescent="0.3">
      <c r="B7" s="159" t="s">
        <v>120</v>
      </c>
      <c r="C7" s="265">
        <v>1</v>
      </c>
      <c r="D7" s="280"/>
      <c r="E7" s="280"/>
      <c r="F7" s="280"/>
      <c r="G7" s="283"/>
      <c r="H7" s="280"/>
      <c r="I7" s="281"/>
      <c r="J7" s="281"/>
    </row>
    <row r="8" spans="1:10" ht="15.75" thickBot="1" x14ac:dyDescent="0.3">
      <c r="D8" s="280"/>
      <c r="E8" s="280"/>
      <c r="F8" s="280"/>
      <c r="G8" s="284"/>
      <c r="H8" s="280"/>
      <c r="I8" s="281"/>
      <c r="J8" s="281"/>
    </row>
    <row r="9" spans="1:10" ht="15.75" thickBot="1" x14ac:dyDescent="0.3">
      <c r="B9" s="159" t="s">
        <v>121</v>
      </c>
      <c r="C9" s="265">
        <v>5</v>
      </c>
      <c r="D9" s="280"/>
      <c r="E9" s="280"/>
      <c r="F9" s="280"/>
      <c r="G9" s="283"/>
      <c r="H9" s="280"/>
      <c r="I9" s="281"/>
      <c r="J9" s="281"/>
    </row>
    <row r="10" spans="1:10" x14ac:dyDescent="0.25">
      <c r="D10" s="281"/>
      <c r="E10" s="280"/>
      <c r="F10" s="280"/>
      <c r="G10" s="283"/>
      <c r="H10" s="280"/>
      <c r="I10" s="281"/>
      <c r="J10" s="281"/>
    </row>
    <row r="11" spans="1:10" x14ac:dyDescent="0.25">
      <c r="D11" s="281"/>
      <c r="E11" s="280"/>
      <c r="F11" s="280"/>
      <c r="G11" s="284"/>
      <c r="H11" s="280"/>
      <c r="I11" s="281"/>
      <c r="J11" s="281"/>
    </row>
    <row r="12" spans="1:10" x14ac:dyDescent="0.25">
      <c r="D12" s="281"/>
      <c r="E12" s="280"/>
      <c r="F12" s="280"/>
      <c r="G12" s="283"/>
      <c r="H12" s="280"/>
      <c r="I12" s="281"/>
      <c r="J12" s="281"/>
    </row>
    <row r="13" spans="1:10" x14ac:dyDescent="0.25">
      <c r="D13" s="281"/>
      <c r="E13" s="280"/>
      <c r="F13" s="280"/>
      <c r="G13" s="283"/>
      <c r="H13" s="280"/>
      <c r="I13" s="281"/>
      <c r="J13" s="281"/>
    </row>
    <row r="14" spans="1:10" x14ac:dyDescent="0.25">
      <c r="D14" s="281"/>
      <c r="E14" s="280"/>
      <c r="F14" s="280"/>
      <c r="G14" s="284"/>
      <c r="H14" s="280"/>
      <c r="I14" s="281"/>
      <c r="J14" s="281"/>
    </row>
    <row r="15" spans="1:10" x14ac:dyDescent="0.25">
      <c r="D15" s="281"/>
      <c r="E15" s="280"/>
      <c r="F15" s="280"/>
      <c r="G15" s="283"/>
      <c r="H15" s="280"/>
      <c r="I15" s="281"/>
      <c r="J15" s="281"/>
    </row>
    <row r="16" spans="1:10" x14ac:dyDescent="0.25">
      <c r="D16" s="281"/>
      <c r="E16" s="280"/>
      <c r="F16" s="280"/>
      <c r="G16" s="284"/>
      <c r="H16" s="280"/>
      <c r="I16" s="281"/>
      <c r="J16" s="281"/>
    </row>
    <row r="17" spans="4:10" x14ac:dyDescent="0.25">
      <c r="D17" s="281"/>
      <c r="E17" s="280"/>
      <c r="F17" s="280"/>
      <c r="G17" s="283"/>
      <c r="H17" s="280"/>
      <c r="I17" s="281"/>
      <c r="J17" s="281"/>
    </row>
    <row r="18" spans="4:10" x14ac:dyDescent="0.25">
      <c r="D18" s="281"/>
      <c r="E18" s="280"/>
      <c r="F18" s="280"/>
      <c r="G18" s="284"/>
      <c r="H18" s="280"/>
      <c r="I18" s="281"/>
      <c r="J18" s="281"/>
    </row>
    <row r="19" spans="4:10" x14ac:dyDescent="0.25">
      <c r="D19" s="281"/>
      <c r="E19" s="280"/>
      <c r="F19" s="280"/>
      <c r="G19" s="283"/>
      <c r="H19" s="280"/>
      <c r="I19" s="281"/>
      <c r="J19" s="281"/>
    </row>
    <row r="20" spans="4:10" x14ac:dyDescent="0.25">
      <c r="D20" s="281"/>
      <c r="E20" s="280"/>
      <c r="F20" s="280"/>
      <c r="G20" s="284"/>
      <c r="H20" s="280"/>
      <c r="I20" s="281"/>
      <c r="J20" s="281"/>
    </row>
    <row r="21" spans="4:10" x14ac:dyDescent="0.25">
      <c r="D21" s="281"/>
      <c r="E21" s="280"/>
      <c r="F21" s="280"/>
      <c r="G21" s="283"/>
      <c r="H21" s="280"/>
      <c r="I21" s="281"/>
      <c r="J21" s="281"/>
    </row>
    <row r="22" spans="4:10" x14ac:dyDescent="0.25">
      <c r="D22" s="281"/>
      <c r="E22" s="280"/>
      <c r="F22" s="280"/>
      <c r="G22" s="284"/>
      <c r="H22" s="280"/>
      <c r="I22" s="281"/>
      <c r="J22" s="281"/>
    </row>
    <row r="23" spans="4:10" x14ac:dyDescent="0.25">
      <c r="D23" s="281"/>
      <c r="E23" s="280"/>
      <c r="F23" s="280"/>
      <c r="G23" s="283"/>
      <c r="H23" s="280"/>
      <c r="I23" s="281"/>
      <c r="J23" s="281"/>
    </row>
    <row r="24" spans="4:10" x14ac:dyDescent="0.25">
      <c r="D24" s="281"/>
      <c r="E24" s="280"/>
      <c r="F24" s="280"/>
      <c r="G24" s="283"/>
      <c r="H24" s="280"/>
      <c r="I24" s="281"/>
      <c r="J24" s="281"/>
    </row>
    <row r="25" spans="4:10" x14ac:dyDescent="0.25">
      <c r="D25" s="281"/>
      <c r="E25" s="280"/>
      <c r="F25" s="280"/>
      <c r="G25" s="283"/>
      <c r="H25" s="280"/>
      <c r="I25" s="281"/>
      <c r="J25" s="281"/>
    </row>
    <row r="26" spans="4:10" x14ac:dyDescent="0.25">
      <c r="D26" s="281"/>
      <c r="E26" s="280"/>
      <c r="F26" s="280"/>
      <c r="G26" s="283"/>
      <c r="H26" s="280"/>
      <c r="I26" s="281"/>
      <c r="J26" s="281"/>
    </row>
    <row r="27" spans="4:10" x14ac:dyDescent="0.25">
      <c r="D27" s="281"/>
      <c r="E27" s="280"/>
      <c r="F27" s="280"/>
      <c r="G27" s="283"/>
      <c r="H27" s="280"/>
      <c r="I27" s="281"/>
      <c r="J27" s="281"/>
    </row>
    <row r="28" spans="4:10" x14ac:dyDescent="0.25">
      <c r="D28" s="281"/>
      <c r="E28" s="280"/>
      <c r="F28" s="280"/>
      <c r="G28" s="283"/>
      <c r="H28" s="280"/>
      <c r="I28" s="281"/>
      <c r="J28" s="281"/>
    </row>
    <row r="29" spans="4:10" x14ac:dyDescent="0.25">
      <c r="D29" s="281"/>
      <c r="E29" s="280"/>
      <c r="F29" s="280"/>
      <c r="G29" s="283"/>
      <c r="H29" s="280"/>
      <c r="I29" s="281"/>
      <c r="J29" s="281"/>
    </row>
    <row r="30" spans="4:10" x14ac:dyDescent="0.25">
      <c r="D30" s="281"/>
      <c r="E30" s="280"/>
      <c r="F30" s="280"/>
      <c r="G30" s="283"/>
      <c r="H30" s="280"/>
      <c r="I30" s="281"/>
      <c r="J30" s="281"/>
    </row>
    <row r="31" spans="4:10" x14ac:dyDescent="0.25">
      <c r="D31" s="281"/>
      <c r="E31" s="280"/>
      <c r="F31" s="280"/>
      <c r="G31" s="283"/>
      <c r="H31" s="280"/>
      <c r="I31" s="281"/>
      <c r="J31" s="281"/>
    </row>
    <row r="32" spans="4:10" x14ac:dyDescent="0.25">
      <c r="D32" s="281"/>
      <c r="E32" s="280"/>
      <c r="F32" s="280"/>
      <c r="G32" s="283"/>
      <c r="H32" s="280"/>
      <c r="I32" s="281"/>
      <c r="J32" s="281"/>
    </row>
    <row r="33" spans="4:10" x14ac:dyDescent="0.25">
      <c r="D33" s="281"/>
      <c r="E33" s="280"/>
      <c r="F33" s="280"/>
      <c r="G33" s="283"/>
      <c r="H33" s="280"/>
      <c r="I33" s="281"/>
      <c r="J33" s="281"/>
    </row>
    <row r="34" spans="4:10" x14ac:dyDescent="0.25">
      <c r="D34" s="281"/>
      <c r="E34" s="280"/>
      <c r="F34" s="280"/>
      <c r="G34" s="283"/>
      <c r="H34" s="280"/>
      <c r="I34" s="281"/>
      <c r="J34" s="281"/>
    </row>
    <row r="35" spans="4:10" x14ac:dyDescent="0.25">
      <c r="D35" s="281"/>
      <c r="E35" s="280"/>
      <c r="F35" s="280"/>
      <c r="G35" s="283"/>
      <c r="H35" s="280"/>
      <c r="I35" s="281"/>
      <c r="J35" s="281"/>
    </row>
    <row r="36" spans="4:10" x14ac:dyDescent="0.25">
      <c r="D36" s="281"/>
      <c r="E36" s="280"/>
      <c r="F36" s="280"/>
      <c r="G36" s="283"/>
      <c r="H36" s="280"/>
      <c r="I36" s="281"/>
      <c r="J36" s="281"/>
    </row>
    <row r="37" spans="4:10" x14ac:dyDescent="0.25">
      <c r="D37" s="281"/>
      <c r="E37" s="280"/>
      <c r="F37" s="280"/>
      <c r="G37" s="283"/>
      <c r="H37" s="280"/>
      <c r="I37" s="281"/>
      <c r="J37" s="281"/>
    </row>
    <row r="38" spans="4:10" x14ac:dyDescent="0.25">
      <c r="D38" s="281"/>
      <c r="E38" s="280"/>
      <c r="F38" s="280"/>
      <c r="G38" s="283"/>
      <c r="H38" s="280"/>
      <c r="I38" s="281"/>
      <c r="J38" s="281"/>
    </row>
    <row r="39" spans="4:10" x14ac:dyDescent="0.25">
      <c r="D39" s="281"/>
      <c r="E39" s="280"/>
      <c r="F39" s="280"/>
      <c r="G39" s="283"/>
      <c r="H39" s="280"/>
      <c r="I39" s="281"/>
      <c r="J39" s="281"/>
    </row>
    <row r="40" spans="4:10" x14ac:dyDescent="0.25">
      <c r="D40" s="281"/>
      <c r="E40" s="279"/>
      <c r="F40" s="280"/>
      <c r="G40" s="283"/>
      <c r="H40" s="280"/>
      <c r="I40" s="281"/>
      <c r="J40" s="281"/>
    </row>
    <row r="41" spans="4:10" x14ac:dyDescent="0.25">
      <c r="D41" s="281"/>
      <c r="E41" s="280"/>
      <c r="F41" s="280"/>
      <c r="G41" s="283"/>
      <c r="H41" s="280"/>
      <c r="I41" s="281"/>
      <c r="J41" s="281"/>
    </row>
    <row r="42" spans="4:10" x14ac:dyDescent="0.25">
      <c r="D42" s="281"/>
      <c r="E42" s="280"/>
      <c r="F42" s="280"/>
      <c r="G42" s="283"/>
      <c r="H42" s="280"/>
      <c r="I42" s="281"/>
      <c r="J42" s="281"/>
    </row>
    <row r="43" spans="4:10" x14ac:dyDescent="0.25">
      <c r="D43" s="281"/>
      <c r="E43" s="280"/>
      <c r="F43" s="280"/>
      <c r="G43" s="283"/>
      <c r="H43" s="280"/>
      <c r="I43" s="281"/>
      <c r="J43" s="281"/>
    </row>
    <row r="44" spans="4:10" x14ac:dyDescent="0.25">
      <c r="D44" s="281"/>
      <c r="E44" s="280"/>
      <c r="F44" s="280"/>
      <c r="G44" s="283"/>
      <c r="H44" s="280"/>
      <c r="I44" s="281"/>
      <c r="J44" s="281"/>
    </row>
    <row r="45" spans="4:10" x14ac:dyDescent="0.25">
      <c r="D45" s="281"/>
      <c r="E45" s="280"/>
      <c r="F45" s="280"/>
      <c r="G45" s="283"/>
      <c r="H45" s="280"/>
      <c r="I45" s="281"/>
      <c r="J45" s="281"/>
    </row>
    <row r="46" spans="4:10" x14ac:dyDescent="0.25">
      <c r="D46" s="281"/>
      <c r="E46" s="280"/>
      <c r="F46" s="280"/>
      <c r="G46" s="283"/>
      <c r="H46" s="280"/>
      <c r="I46" s="281"/>
      <c r="J46" s="281"/>
    </row>
    <row r="47" spans="4:10" x14ac:dyDescent="0.25">
      <c r="D47" s="281"/>
      <c r="E47" s="280"/>
      <c r="F47" s="280"/>
      <c r="G47" s="283"/>
      <c r="H47" s="280"/>
      <c r="I47" s="281"/>
      <c r="J47" s="281"/>
    </row>
    <row r="48" spans="4:10" x14ac:dyDescent="0.25">
      <c r="D48" s="281"/>
      <c r="E48" s="280"/>
      <c r="F48" s="280"/>
      <c r="G48" s="283"/>
      <c r="H48" s="280"/>
      <c r="I48" s="281"/>
      <c r="J48" s="281"/>
    </row>
    <row r="49" spans="4:10" x14ac:dyDescent="0.25">
      <c r="D49" s="281"/>
      <c r="E49" s="280"/>
      <c r="F49" s="280"/>
      <c r="G49" s="283"/>
      <c r="H49" s="280"/>
      <c r="I49" s="281"/>
      <c r="J49" s="281"/>
    </row>
    <row r="50" spans="4:10" x14ac:dyDescent="0.25">
      <c r="D50" s="281"/>
      <c r="E50" s="280"/>
      <c r="F50" s="280"/>
      <c r="G50" s="283"/>
      <c r="H50" s="280"/>
      <c r="I50" s="281"/>
      <c r="J50" s="281"/>
    </row>
    <row r="51" spans="4:10" x14ac:dyDescent="0.25">
      <c r="D51" s="281"/>
      <c r="E51" s="280"/>
      <c r="F51" s="281"/>
      <c r="G51" s="283"/>
      <c r="H51" s="280"/>
      <c r="I51" s="281"/>
      <c r="J51" s="281"/>
    </row>
    <row r="52" spans="4:10" x14ac:dyDescent="0.25">
      <c r="D52" s="281"/>
      <c r="E52" s="280"/>
      <c r="F52" s="281"/>
      <c r="G52" s="283"/>
      <c r="H52" s="280"/>
      <c r="I52" s="281"/>
      <c r="J52" s="281"/>
    </row>
    <row r="53" spans="4:10" x14ac:dyDescent="0.25">
      <c r="D53" s="281"/>
      <c r="E53" s="279"/>
      <c r="F53" s="281"/>
      <c r="G53" s="283"/>
      <c r="H53" s="280"/>
      <c r="I53" s="281"/>
      <c r="J53" s="281"/>
    </row>
    <row r="54" spans="4:10" x14ac:dyDescent="0.25">
      <c r="D54" s="281"/>
      <c r="E54" s="280"/>
      <c r="F54" s="281"/>
      <c r="G54" s="283"/>
      <c r="H54" s="280"/>
      <c r="I54" s="281"/>
      <c r="J54" s="281"/>
    </row>
    <row r="55" spans="4:10" x14ac:dyDescent="0.25">
      <c r="D55" s="281"/>
      <c r="E55" s="280"/>
      <c r="F55" s="281"/>
      <c r="G55" s="283"/>
      <c r="H55" s="280"/>
      <c r="I55" s="281"/>
      <c r="J55" s="281"/>
    </row>
    <row r="56" spans="4:10" x14ac:dyDescent="0.25">
      <c r="D56" s="281"/>
      <c r="E56" s="280"/>
      <c r="F56" s="281"/>
      <c r="G56" s="283"/>
      <c r="H56" s="280"/>
      <c r="I56" s="281"/>
      <c r="J56" s="281"/>
    </row>
    <row r="57" spans="4:10" x14ac:dyDescent="0.25">
      <c r="D57" s="281"/>
      <c r="E57" s="280"/>
      <c r="F57" s="281"/>
      <c r="G57" s="283"/>
      <c r="H57" s="280"/>
      <c r="I57" s="281"/>
      <c r="J57" s="281"/>
    </row>
    <row r="58" spans="4:10" x14ac:dyDescent="0.25">
      <c r="D58" s="281"/>
      <c r="E58" s="280"/>
      <c r="F58" s="281"/>
      <c r="G58" s="283"/>
      <c r="H58" s="280"/>
      <c r="I58" s="281"/>
      <c r="J58" s="281"/>
    </row>
    <row r="59" spans="4:10" x14ac:dyDescent="0.25">
      <c r="D59" s="281"/>
      <c r="E59" s="279"/>
      <c r="F59" s="281"/>
      <c r="G59" s="283"/>
      <c r="H59" s="280"/>
      <c r="I59" s="281"/>
      <c r="J59" s="281"/>
    </row>
    <row r="60" spans="4:10" x14ac:dyDescent="0.25">
      <c r="D60" s="281"/>
      <c r="E60" s="279"/>
      <c r="F60" s="281"/>
      <c r="G60" s="283"/>
      <c r="H60" s="280"/>
      <c r="I60" s="281"/>
      <c r="J60" s="281"/>
    </row>
    <row r="61" spans="4:10" x14ac:dyDescent="0.25">
      <c r="D61" s="281"/>
      <c r="E61" s="280"/>
      <c r="F61" s="281"/>
      <c r="G61" s="283"/>
      <c r="H61" s="280"/>
      <c r="I61" s="281"/>
      <c r="J61" s="281"/>
    </row>
    <row r="62" spans="4:10" x14ac:dyDescent="0.25">
      <c r="D62" s="281"/>
      <c r="E62" s="280"/>
      <c r="F62" s="281"/>
      <c r="G62" s="283"/>
      <c r="H62" s="280"/>
      <c r="I62" s="281"/>
      <c r="J62" s="281"/>
    </row>
    <row r="63" spans="4:10" x14ac:dyDescent="0.25">
      <c r="D63" s="281"/>
      <c r="E63" s="280"/>
      <c r="F63" s="281"/>
      <c r="G63" s="283"/>
      <c r="H63" s="280"/>
      <c r="I63" s="281"/>
      <c r="J63" s="281"/>
    </row>
    <row r="64" spans="4:10" x14ac:dyDescent="0.25">
      <c r="D64" s="281"/>
      <c r="E64" s="280"/>
      <c r="F64" s="281"/>
      <c r="G64" s="283"/>
      <c r="H64" s="280"/>
      <c r="I64" s="281"/>
      <c r="J64" s="281"/>
    </row>
    <row r="65" spans="4:10" x14ac:dyDescent="0.25">
      <c r="D65" s="281"/>
      <c r="E65" s="280"/>
      <c r="F65" s="281"/>
      <c r="G65" s="283"/>
      <c r="H65" s="280"/>
      <c r="I65" s="281"/>
      <c r="J65" s="281"/>
    </row>
    <row r="66" spans="4:10" x14ac:dyDescent="0.25">
      <c r="D66" s="281"/>
      <c r="E66" s="280"/>
      <c r="F66" s="281"/>
      <c r="G66" s="283"/>
      <c r="H66" s="280"/>
      <c r="I66" s="281"/>
      <c r="J66" s="281"/>
    </row>
    <row r="67" spans="4:10" x14ac:dyDescent="0.25">
      <c r="D67" s="281"/>
      <c r="E67" s="280"/>
      <c r="F67" s="281"/>
      <c r="G67" s="283"/>
      <c r="H67" s="280"/>
      <c r="I67" s="281"/>
      <c r="J67" s="281"/>
    </row>
    <row r="68" spans="4:10" x14ac:dyDescent="0.25">
      <c r="D68" s="281"/>
      <c r="E68" s="280"/>
      <c r="F68" s="281"/>
      <c r="G68" s="283"/>
      <c r="H68" s="280"/>
      <c r="I68" s="281"/>
      <c r="J68" s="281"/>
    </row>
    <row r="69" spans="4:10" x14ac:dyDescent="0.25">
      <c r="D69" s="281"/>
      <c r="E69" s="280"/>
      <c r="F69" s="281"/>
      <c r="G69" s="283"/>
      <c r="H69" s="280"/>
      <c r="I69" s="281"/>
      <c r="J69" s="281"/>
    </row>
    <row r="70" spans="4:10" x14ac:dyDescent="0.25">
      <c r="D70" s="281"/>
      <c r="E70" s="279"/>
      <c r="F70" s="281"/>
      <c r="G70" s="283"/>
      <c r="H70" s="280"/>
      <c r="I70" s="281"/>
      <c r="J70" s="281"/>
    </row>
    <row r="71" spans="4:10" x14ac:dyDescent="0.25">
      <c r="D71" s="281"/>
      <c r="E71" s="280"/>
      <c r="F71" s="281"/>
      <c r="G71" s="283"/>
      <c r="H71" s="280"/>
      <c r="I71" s="281"/>
      <c r="J71" s="281"/>
    </row>
    <row r="72" spans="4:10" x14ac:dyDescent="0.25">
      <c r="D72" s="281"/>
      <c r="E72" s="280"/>
      <c r="F72" s="281"/>
      <c r="G72" s="283"/>
      <c r="H72" s="280"/>
      <c r="I72" s="281"/>
      <c r="J72" s="281"/>
    </row>
    <row r="73" spans="4:10" x14ac:dyDescent="0.25">
      <c r="D73" s="281"/>
      <c r="E73" s="280"/>
      <c r="F73" s="281"/>
      <c r="G73" s="283"/>
      <c r="H73" s="280"/>
      <c r="I73" s="281"/>
      <c r="J73" s="281"/>
    </row>
    <row r="74" spans="4:10" x14ac:dyDescent="0.25">
      <c r="D74" s="281"/>
      <c r="E74" s="280"/>
      <c r="F74" s="281"/>
      <c r="G74" s="283"/>
      <c r="H74" s="280"/>
      <c r="I74" s="281"/>
      <c r="J74" s="281"/>
    </row>
    <row r="75" spans="4:10" x14ac:dyDescent="0.25">
      <c r="D75" s="281"/>
      <c r="E75" s="280"/>
      <c r="F75" s="281"/>
      <c r="G75" s="283"/>
      <c r="H75" s="280"/>
      <c r="I75" s="281"/>
      <c r="J75" s="281"/>
    </row>
    <row r="76" spans="4:10" x14ac:dyDescent="0.25">
      <c r="D76" s="281"/>
      <c r="E76" s="279"/>
      <c r="F76" s="281"/>
      <c r="G76" s="283"/>
      <c r="H76" s="280"/>
      <c r="I76" s="281"/>
      <c r="J76" s="281"/>
    </row>
    <row r="77" spans="4:10" x14ac:dyDescent="0.25">
      <c r="D77" s="281"/>
      <c r="E77" s="280"/>
      <c r="F77" s="281"/>
      <c r="G77" s="283"/>
      <c r="H77" s="280"/>
      <c r="I77" s="281"/>
      <c r="J77" s="281"/>
    </row>
    <row r="78" spans="4:10" x14ac:dyDescent="0.25">
      <c r="D78" s="281"/>
      <c r="E78" s="280"/>
      <c r="F78" s="281"/>
      <c r="G78" s="283"/>
      <c r="H78" s="280"/>
      <c r="I78" s="281"/>
      <c r="J78" s="281"/>
    </row>
    <row r="79" spans="4:10" x14ac:dyDescent="0.25">
      <c r="D79" s="281"/>
      <c r="E79" s="280"/>
      <c r="F79" s="281"/>
      <c r="G79" s="283"/>
      <c r="H79" s="280"/>
      <c r="I79" s="281"/>
      <c r="J79" s="281"/>
    </row>
    <row r="80" spans="4:10" x14ac:dyDescent="0.25">
      <c r="D80" s="281"/>
      <c r="E80" s="280"/>
      <c r="F80" s="281"/>
      <c r="G80" s="283"/>
      <c r="H80" s="280"/>
      <c r="I80" s="281"/>
      <c r="J80" s="281"/>
    </row>
    <row r="81" spans="4:10" x14ac:dyDescent="0.25">
      <c r="D81" s="281"/>
      <c r="E81" s="280"/>
      <c r="F81" s="281"/>
      <c r="G81" s="283"/>
      <c r="H81" s="280"/>
      <c r="I81" s="281"/>
      <c r="J81" s="281"/>
    </row>
    <row r="82" spans="4:10" x14ac:dyDescent="0.25">
      <c r="D82" s="281"/>
      <c r="E82" s="279"/>
      <c r="F82" s="281"/>
      <c r="G82" s="283"/>
      <c r="H82" s="280"/>
      <c r="I82" s="281"/>
      <c r="J82" s="281"/>
    </row>
    <row r="83" spans="4:10" x14ac:dyDescent="0.25">
      <c r="D83" s="281"/>
      <c r="E83" s="280"/>
      <c r="F83" s="281"/>
      <c r="G83" s="283"/>
      <c r="H83" s="280"/>
      <c r="I83" s="281"/>
      <c r="J83" s="281"/>
    </row>
    <row r="84" spans="4:10" x14ac:dyDescent="0.25">
      <c r="D84" s="281"/>
      <c r="E84" s="280"/>
      <c r="F84" s="281"/>
      <c r="G84" s="283"/>
      <c r="H84" s="280"/>
      <c r="I84" s="281"/>
      <c r="J84" s="281"/>
    </row>
    <row r="85" spans="4:10" x14ac:dyDescent="0.25">
      <c r="D85" s="281"/>
      <c r="E85" s="280"/>
      <c r="F85" s="281"/>
      <c r="G85" s="283"/>
      <c r="H85" s="280"/>
      <c r="I85" s="281"/>
      <c r="J85" s="281"/>
    </row>
    <row r="86" spans="4:10" x14ac:dyDescent="0.25">
      <c r="D86" s="281"/>
      <c r="E86" s="280"/>
      <c r="F86" s="281"/>
      <c r="G86" s="283"/>
      <c r="H86" s="280"/>
      <c r="I86" s="281"/>
      <c r="J86" s="281"/>
    </row>
    <row r="87" spans="4:10" x14ac:dyDescent="0.25">
      <c r="D87" s="281"/>
      <c r="E87" s="280"/>
      <c r="F87" s="281"/>
      <c r="G87" s="283"/>
      <c r="H87" s="280"/>
      <c r="I87" s="281"/>
      <c r="J87" s="281"/>
    </row>
    <row r="88" spans="4:10" x14ac:dyDescent="0.25">
      <c r="D88" s="281"/>
      <c r="E88" s="279"/>
      <c r="F88" s="281"/>
      <c r="G88" s="283"/>
      <c r="H88" s="280"/>
      <c r="I88" s="281"/>
      <c r="J88" s="281"/>
    </row>
    <row r="89" spans="4:10" x14ac:dyDescent="0.25">
      <c r="D89" s="281"/>
      <c r="E89" s="280"/>
      <c r="F89" s="281"/>
      <c r="G89" s="283"/>
      <c r="H89" s="280"/>
      <c r="I89" s="281"/>
      <c r="J89" s="281"/>
    </row>
    <row r="90" spans="4:10" x14ac:dyDescent="0.25">
      <c r="D90" s="281"/>
      <c r="E90" s="280"/>
      <c r="F90" s="281"/>
      <c r="G90" s="283"/>
      <c r="H90" s="280"/>
      <c r="I90" s="281"/>
      <c r="J90" s="281"/>
    </row>
    <row r="91" spans="4:10" x14ac:dyDescent="0.25">
      <c r="D91" s="281"/>
      <c r="E91" s="280"/>
      <c r="F91" s="281"/>
      <c r="G91" s="283"/>
      <c r="H91" s="280"/>
      <c r="I91" s="281"/>
      <c r="J91" s="281"/>
    </row>
    <row r="92" spans="4:10" x14ac:dyDescent="0.25">
      <c r="D92" s="281"/>
      <c r="E92" s="280"/>
      <c r="F92" s="281"/>
      <c r="G92" s="283"/>
      <c r="H92" s="280"/>
      <c r="I92" s="281"/>
      <c r="J92" s="281"/>
    </row>
    <row r="93" spans="4:10" x14ac:dyDescent="0.25">
      <c r="D93" s="281"/>
      <c r="E93" s="280"/>
      <c r="F93" s="281"/>
      <c r="G93" s="283"/>
      <c r="H93" s="280"/>
      <c r="I93" s="281"/>
      <c r="J93" s="281"/>
    </row>
    <row r="94" spans="4:10" x14ac:dyDescent="0.25">
      <c r="D94" s="281"/>
      <c r="E94" s="279"/>
      <c r="F94" s="281"/>
      <c r="G94" s="283"/>
      <c r="H94" s="280"/>
      <c r="I94" s="281"/>
      <c r="J94" s="281"/>
    </row>
    <row r="95" spans="4:10" x14ac:dyDescent="0.25">
      <c r="D95" s="281"/>
      <c r="E95" s="280"/>
      <c r="F95" s="281"/>
      <c r="G95" s="283"/>
      <c r="H95" s="280"/>
      <c r="I95" s="281"/>
      <c r="J95" s="281"/>
    </row>
    <row r="96" spans="4:10" x14ac:dyDescent="0.25">
      <c r="D96" s="281"/>
      <c r="E96" s="280"/>
      <c r="F96" s="281"/>
      <c r="G96" s="283"/>
      <c r="H96" s="280"/>
      <c r="I96" s="281"/>
      <c r="J96" s="281"/>
    </row>
    <row r="97" spans="4:10" x14ac:dyDescent="0.25">
      <c r="D97" s="281"/>
      <c r="E97" s="280"/>
      <c r="F97" s="281"/>
      <c r="G97" s="283"/>
      <c r="H97" s="280"/>
      <c r="I97" s="281"/>
      <c r="J97" s="281"/>
    </row>
    <row r="98" spans="4:10" x14ac:dyDescent="0.25">
      <c r="D98" s="281"/>
      <c r="E98" s="280"/>
      <c r="F98" s="281"/>
      <c r="G98" s="283"/>
      <c r="H98" s="280"/>
      <c r="I98" s="281"/>
      <c r="J98" s="281"/>
    </row>
    <row r="99" spans="4:10" x14ac:dyDescent="0.25">
      <c r="D99" s="281"/>
      <c r="E99" s="280"/>
      <c r="F99" s="281"/>
      <c r="G99" s="283"/>
      <c r="H99" s="280"/>
      <c r="I99" s="281"/>
      <c r="J99" s="281"/>
    </row>
    <row r="100" spans="4:10" x14ac:dyDescent="0.25">
      <c r="D100" s="281"/>
      <c r="E100" s="279"/>
      <c r="F100" s="281"/>
      <c r="G100" s="283"/>
      <c r="H100" s="280"/>
      <c r="I100" s="281"/>
      <c r="J100" s="281"/>
    </row>
    <row r="101" spans="4:10" x14ac:dyDescent="0.25">
      <c r="D101" s="281"/>
      <c r="E101" s="280"/>
      <c r="F101" s="281"/>
      <c r="G101" s="283"/>
      <c r="H101" s="280"/>
      <c r="I101" s="281"/>
      <c r="J101" s="281"/>
    </row>
    <row r="102" spans="4:10" x14ac:dyDescent="0.25">
      <c r="D102" s="281"/>
      <c r="E102" s="280"/>
      <c r="F102" s="281"/>
      <c r="G102" s="283"/>
      <c r="H102" s="280"/>
      <c r="I102" s="281"/>
      <c r="J102" s="281"/>
    </row>
    <row r="103" spans="4:10" x14ac:dyDescent="0.25">
      <c r="D103" s="281"/>
      <c r="E103" s="280"/>
      <c r="F103" s="281"/>
      <c r="G103" s="283"/>
      <c r="H103" s="280"/>
      <c r="I103" s="281"/>
      <c r="J103" s="281"/>
    </row>
    <row r="104" spans="4:10" x14ac:dyDescent="0.25">
      <c r="D104" s="281"/>
      <c r="E104" s="280"/>
      <c r="F104" s="281"/>
      <c r="G104" s="283"/>
      <c r="H104" s="280"/>
      <c r="I104" s="281"/>
      <c r="J104" s="281"/>
    </row>
    <row r="105" spans="4:10" x14ac:dyDescent="0.25">
      <c r="D105" s="281"/>
      <c r="E105" s="280"/>
      <c r="F105" s="281"/>
      <c r="G105" s="283"/>
      <c r="H105" s="280"/>
      <c r="I105" s="281"/>
      <c r="J105" s="281"/>
    </row>
    <row r="106" spans="4:10" x14ac:dyDescent="0.25">
      <c r="D106" s="281"/>
      <c r="E106" s="279"/>
      <c r="F106" s="281"/>
      <c r="G106" s="283"/>
      <c r="H106" s="280"/>
      <c r="I106" s="281"/>
      <c r="J106" s="281"/>
    </row>
    <row r="107" spans="4:10" x14ac:dyDescent="0.25">
      <c r="D107" s="281"/>
      <c r="E107" s="280"/>
      <c r="F107" s="281"/>
      <c r="G107" s="283"/>
      <c r="H107" s="280"/>
      <c r="I107" s="281"/>
      <c r="J107" s="281"/>
    </row>
    <row r="108" spans="4:10" x14ac:dyDescent="0.25">
      <c r="D108" s="281"/>
      <c r="E108" s="280"/>
      <c r="F108" s="281"/>
      <c r="G108" s="283"/>
      <c r="H108" s="280"/>
      <c r="I108" s="281"/>
      <c r="J108" s="281"/>
    </row>
    <row r="109" spans="4:10" x14ac:dyDescent="0.25">
      <c r="D109" s="281"/>
      <c r="E109" s="280"/>
      <c r="F109" s="281"/>
      <c r="G109" s="283"/>
      <c r="H109" s="280"/>
      <c r="I109" s="281"/>
      <c r="J109" s="281"/>
    </row>
    <row r="110" spans="4:10" x14ac:dyDescent="0.25">
      <c r="D110" s="281"/>
      <c r="E110" s="280"/>
      <c r="F110" s="281"/>
      <c r="G110" s="283"/>
      <c r="H110" s="280"/>
      <c r="I110" s="281"/>
      <c r="J110" s="281"/>
    </row>
    <row r="111" spans="4:10" x14ac:dyDescent="0.25">
      <c r="D111" s="281"/>
      <c r="E111" s="280"/>
      <c r="F111" s="281"/>
      <c r="G111" s="283"/>
      <c r="H111" s="280"/>
      <c r="I111" s="281"/>
      <c r="J111" s="281"/>
    </row>
    <row r="112" spans="4:10" x14ac:dyDescent="0.25">
      <c r="D112" s="281"/>
      <c r="E112" s="280"/>
      <c r="F112" s="281"/>
      <c r="G112" s="283"/>
      <c r="H112" s="280"/>
      <c r="I112" s="281"/>
      <c r="J112" s="281"/>
    </row>
    <row r="113" spans="4:10" x14ac:dyDescent="0.25">
      <c r="D113" s="281"/>
      <c r="E113" s="280"/>
      <c r="F113" s="281"/>
      <c r="G113" s="283"/>
      <c r="H113" s="280"/>
      <c r="I113" s="281"/>
      <c r="J113" s="281"/>
    </row>
    <row r="114" spans="4:10" x14ac:dyDescent="0.25">
      <c r="D114" s="281"/>
      <c r="E114" s="279"/>
      <c r="F114" s="281"/>
      <c r="G114" s="283"/>
      <c r="H114" s="280"/>
      <c r="I114" s="281"/>
      <c r="J114" s="281"/>
    </row>
    <row r="115" spans="4:10" x14ac:dyDescent="0.25">
      <c r="D115" s="281"/>
      <c r="E115" s="280"/>
      <c r="F115" s="281"/>
      <c r="G115" s="283"/>
      <c r="H115" s="280"/>
      <c r="I115" s="281"/>
      <c r="J115" s="281"/>
    </row>
    <row r="116" spans="4:10" x14ac:dyDescent="0.25">
      <c r="D116" s="281"/>
      <c r="E116" s="280"/>
      <c r="F116" s="281"/>
      <c r="G116" s="283"/>
      <c r="H116" s="280"/>
      <c r="I116" s="281"/>
      <c r="J116" s="281"/>
    </row>
    <row r="117" spans="4:10" x14ac:dyDescent="0.25">
      <c r="D117" s="281"/>
      <c r="E117" s="280"/>
      <c r="F117" s="281"/>
      <c r="G117" s="283"/>
      <c r="H117" s="280"/>
      <c r="I117" s="281"/>
      <c r="J117" s="281"/>
    </row>
    <row r="118" spans="4:10" x14ac:dyDescent="0.25">
      <c r="D118" s="281"/>
      <c r="E118" s="280"/>
      <c r="F118" s="281"/>
      <c r="G118" s="283"/>
      <c r="H118" s="280"/>
      <c r="I118" s="281"/>
      <c r="J118" s="281"/>
    </row>
    <row r="119" spans="4:10" x14ac:dyDescent="0.25">
      <c r="D119" s="281"/>
      <c r="E119" s="280"/>
      <c r="F119" s="281"/>
      <c r="G119" s="283"/>
      <c r="H119" s="280"/>
      <c r="I119" s="281"/>
      <c r="J119" s="281"/>
    </row>
    <row r="120" spans="4:10" x14ac:dyDescent="0.25">
      <c r="D120" s="281"/>
      <c r="E120" s="280"/>
      <c r="F120" s="281"/>
      <c r="G120" s="283"/>
      <c r="H120" s="280"/>
      <c r="I120" s="281"/>
      <c r="J120" s="281"/>
    </row>
    <row r="121" spans="4:10" x14ac:dyDescent="0.25">
      <c r="D121" s="281"/>
      <c r="E121" s="280"/>
      <c r="F121" s="281"/>
      <c r="G121" s="283"/>
      <c r="H121" s="280"/>
      <c r="I121" s="281"/>
      <c r="J121" s="281"/>
    </row>
    <row r="122" spans="4:10" x14ac:dyDescent="0.25">
      <c r="D122" s="281"/>
      <c r="E122" s="280"/>
      <c r="F122" s="281"/>
      <c r="G122" s="283"/>
      <c r="H122" s="280"/>
      <c r="I122" s="281"/>
      <c r="J122" s="281"/>
    </row>
    <row r="123" spans="4:10" x14ac:dyDescent="0.25">
      <c r="D123" s="281"/>
      <c r="E123" s="280"/>
      <c r="F123" s="281"/>
      <c r="G123" s="283"/>
      <c r="H123" s="280"/>
      <c r="I123" s="281"/>
      <c r="J123" s="281"/>
    </row>
    <row r="124" spans="4:10" x14ac:dyDescent="0.25">
      <c r="D124" s="281"/>
      <c r="E124" s="280"/>
      <c r="F124" s="281"/>
      <c r="G124" s="283"/>
      <c r="H124" s="280"/>
      <c r="I124" s="281"/>
      <c r="J124" s="281"/>
    </row>
    <row r="125" spans="4:10" x14ac:dyDescent="0.25">
      <c r="D125" s="281"/>
      <c r="E125" s="280"/>
      <c r="F125" s="281"/>
      <c r="G125" s="283"/>
      <c r="H125" s="280"/>
      <c r="I125" s="281"/>
      <c r="J125" s="281"/>
    </row>
    <row r="126" spans="4:10" x14ac:dyDescent="0.25">
      <c r="D126" s="281"/>
      <c r="E126" s="280"/>
      <c r="F126" s="281"/>
      <c r="G126" s="283"/>
      <c r="H126" s="280"/>
      <c r="I126" s="281"/>
      <c r="J126" s="281"/>
    </row>
    <row r="127" spans="4:10" x14ac:dyDescent="0.25">
      <c r="D127" s="281"/>
      <c r="E127" s="280"/>
      <c r="F127" s="281"/>
      <c r="G127" s="283"/>
      <c r="H127" s="280"/>
      <c r="I127" s="281"/>
      <c r="J127" s="281"/>
    </row>
    <row r="128" spans="4:10" x14ac:dyDescent="0.25">
      <c r="D128" s="281"/>
      <c r="E128" s="280"/>
      <c r="F128" s="281"/>
      <c r="G128" s="283"/>
      <c r="H128" s="280"/>
      <c r="I128" s="281"/>
      <c r="J128" s="281"/>
    </row>
    <row r="129" spans="4:10" x14ac:dyDescent="0.25">
      <c r="D129" s="281"/>
      <c r="E129" s="280"/>
      <c r="F129" s="281"/>
      <c r="G129" s="283"/>
      <c r="H129" s="280"/>
      <c r="I129" s="281"/>
      <c r="J129" s="281"/>
    </row>
    <row r="130" spans="4:10" x14ac:dyDescent="0.25">
      <c r="D130" s="281"/>
      <c r="E130" s="280"/>
      <c r="F130" s="281"/>
      <c r="G130" s="283"/>
      <c r="H130" s="280"/>
      <c r="I130" s="281"/>
      <c r="J130" s="281"/>
    </row>
    <row r="131" spans="4:10" x14ac:dyDescent="0.25">
      <c r="D131" s="281"/>
      <c r="E131" s="280"/>
      <c r="F131" s="281"/>
      <c r="G131" s="283"/>
      <c r="H131" s="280"/>
      <c r="I131" s="281"/>
      <c r="J131" s="281"/>
    </row>
    <row r="132" spans="4:10" x14ac:dyDescent="0.25">
      <c r="D132" s="281"/>
      <c r="E132" s="280"/>
      <c r="F132" s="281"/>
      <c r="G132" s="283"/>
      <c r="H132" s="280"/>
      <c r="I132" s="281"/>
      <c r="J132" s="281"/>
    </row>
    <row r="133" spans="4:10" x14ac:dyDescent="0.25">
      <c r="D133" s="281"/>
      <c r="E133" s="280"/>
      <c r="F133" s="281"/>
      <c r="G133" s="283"/>
      <c r="H133" s="280"/>
      <c r="I133" s="281"/>
      <c r="J133" s="281"/>
    </row>
    <row r="134" spans="4:10" x14ac:dyDescent="0.25">
      <c r="D134" s="281"/>
      <c r="E134" s="280"/>
      <c r="F134" s="281"/>
      <c r="G134" s="283"/>
      <c r="H134" s="280"/>
      <c r="I134" s="281"/>
      <c r="J134" s="281"/>
    </row>
    <row r="135" spans="4:10" x14ac:dyDescent="0.25">
      <c r="D135" s="281"/>
      <c r="E135" s="280"/>
      <c r="F135" s="281"/>
      <c r="G135" s="283"/>
      <c r="H135" s="280"/>
      <c r="I135" s="281"/>
      <c r="J135" s="281"/>
    </row>
    <row r="136" spans="4:10" x14ac:dyDescent="0.25">
      <c r="D136" s="281"/>
      <c r="E136" s="280"/>
      <c r="F136" s="281"/>
      <c r="G136" s="283"/>
      <c r="H136" s="280"/>
      <c r="I136" s="281"/>
      <c r="J136" s="281"/>
    </row>
    <row r="137" spans="4:10" x14ac:dyDescent="0.25">
      <c r="D137" s="281"/>
      <c r="E137" s="280"/>
      <c r="F137" s="281"/>
      <c r="G137" s="283"/>
      <c r="H137" s="280"/>
      <c r="I137" s="281"/>
      <c r="J137" s="281"/>
    </row>
    <row r="138" spans="4:10" x14ac:dyDescent="0.25">
      <c r="D138" s="281"/>
      <c r="E138" s="280"/>
      <c r="F138" s="281"/>
      <c r="G138" s="283"/>
      <c r="H138" s="280"/>
      <c r="I138" s="281"/>
      <c r="J138" s="281"/>
    </row>
    <row r="139" spans="4:10" x14ac:dyDescent="0.25">
      <c r="D139" s="281"/>
      <c r="E139" s="280"/>
      <c r="F139" s="281"/>
      <c r="G139" s="283"/>
      <c r="H139" s="280"/>
      <c r="I139" s="281"/>
      <c r="J139" s="281"/>
    </row>
    <row r="140" spans="4:10" x14ac:dyDescent="0.25">
      <c r="D140" s="281"/>
      <c r="E140" s="279"/>
      <c r="F140" s="281"/>
      <c r="G140" s="283"/>
      <c r="H140" s="280"/>
      <c r="I140" s="281"/>
      <c r="J140" s="281"/>
    </row>
    <row r="141" spans="4:10" x14ac:dyDescent="0.25">
      <c r="D141" s="281"/>
      <c r="E141" s="280"/>
      <c r="F141" s="281"/>
      <c r="G141" s="283"/>
      <c r="H141" s="280"/>
      <c r="I141" s="281"/>
      <c r="J141" s="281"/>
    </row>
    <row r="142" spans="4:10" x14ac:dyDescent="0.25">
      <c r="D142" s="281"/>
      <c r="E142" s="280"/>
      <c r="F142" s="281"/>
      <c r="G142" s="283"/>
      <c r="H142" s="280"/>
      <c r="I142" s="281"/>
      <c r="J142" s="281"/>
    </row>
    <row r="143" spans="4:10" x14ac:dyDescent="0.25">
      <c r="D143" s="281"/>
      <c r="E143" s="280"/>
      <c r="F143" s="281"/>
      <c r="G143" s="283"/>
      <c r="H143" s="280"/>
      <c r="I143" s="281"/>
      <c r="J143" s="281"/>
    </row>
    <row r="144" spans="4:10" x14ac:dyDescent="0.25">
      <c r="D144" s="281"/>
      <c r="E144" s="280"/>
      <c r="F144" s="281"/>
      <c r="G144" s="283"/>
      <c r="H144" s="280"/>
      <c r="I144" s="281"/>
      <c r="J144" s="281"/>
    </row>
    <row r="145" spans="4:10" x14ac:dyDescent="0.25">
      <c r="D145" s="281"/>
      <c r="E145" s="280"/>
      <c r="F145" s="281"/>
      <c r="G145" s="283"/>
      <c r="H145" s="280"/>
      <c r="I145" s="281"/>
      <c r="J145" s="281"/>
    </row>
    <row r="146" spans="4:10" x14ac:dyDescent="0.25">
      <c r="D146" s="281"/>
      <c r="E146" s="280"/>
      <c r="F146" s="281"/>
      <c r="G146" s="283"/>
      <c r="H146" s="280"/>
      <c r="I146" s="281"/>
      <c r="J146" s="281"/>
    </row>
    <row r="147" spans="4:10" x14ac:dyDescent="0.25">
      <c r="D147" s="281"/>
      <c r="E147" s="280"/>
      <c r="F147" s="281"/>
      <c r="G147" s="283"/>
      <c r="H147" s="280"/>
      <c r="I147" s="281"/>
      <c r="J147" s="281"/>
    </row>
    <row r="148" spans="4:10" x14ac:dyDescent="0.25">
      <c r="D148" s="281"/>
      <c r="E148" s="280"/>
      <c r="F148" s="281"/>
      <c r="G148" s="283"/>
      <c r="H148" s="280"/>
      <c r="I148" s="281"/>
      <c r="J148" s="281"/>
    </row>
    <row r="149" spans="4:10" x14ac:dyDescent="0.25">
      <c r="D149" s="281"/>
      <c r="E149" s="96"/>
      <c r="F149" s="281"/>
      <c r="G149" s="96"/>
      <c r="H149" s="283"/>
      <c r="I149" s="281"/>
      <c r="J149" s="281"/>
    </row>
    <row r="150" spans="4:10" x14ac:dyDescent="0.25">
      <c r="D150" s="281"/>
      <c r="E150" s="96"/>
      <c r="F150" s="281"/>
      <c r="G150" s="96"/>
      <c r="H150" s="285"/>
      <c r="I150" s="281"/>
      <c r="J150" s="281"/>
    </row>
    <row r="151" spans="4:10" x14ac:dyDescent="0.25">
      <c r="D151" s="281"/>
      <c r="E151" s="96"/>
      <c r="F151" s="281"/>
      <c r="G151" s="96"/>
      <c r="H151" s="96"/>
      <c r="I151" s="281"/>
      <c r="J151" s="281"/>
    </row>
    <row r="152" spans="4:10" x14ac:dyDescent="0.25">
      <c r="E152" s="96"/>
      <c r="G152" s="96"/>
      <c r="H152" s="96"/>
    </row>
    <row r="153" spans="4:10" x14ac:dyDescent="0.25">
      <c r="E153" s="96"/>
      <c r="G153" s="96"/>
      <c r="H153" s="96"/>
    </row>
    <row r="154" spans="4:10" x14ac:dyDescent="0.25">
      <c r="E154" s="96"/>
      <c r="G154" s="96"/>
      <c r="H154" s="96"/>
    </row>
    <row r="155" spans="4:10" x14ac:dyDescent="0.25">
      <c r="E155" s="96"/>
      <c r="G155" s="96"/>
      <c r="H155" s="96"/>
    </row>
    <row r="156" spans="4:10" x14ac:dyDescent="0.25">
      <c r="E156" s="96"/>
      <c r="G156" s="96"/>
      <c r="H156" s="96"/>
    </row>
    <row r="157" spans="4:10" x14ac:dyDescent="0.25">
      <c r="E157" s="96"/>
      <c r="G157" s="96"/>
      <c r="H157" s="96"/>
    </row>
    <row r="158" spans="4:10" x14ac:dyDescent="0.25">
      <c r="E158" s="96"/>
      <c r="G158" s="96"/>
      <c r="H158" s="96"/>
    </row>
    <row r="159" spans="4:10" x14ac:dyDescent="0.25">
      <c r="E159" s="96"/>
      <c r="G159" s="96"/>
      <c r="H159" s="96"/>
    </row>
    <row r="160" spans="4:10" x14ac:dyDescent="0.25">
      <c r="E160" s="96"/>
      <c r="G160" s="96"/>
      <c r="H160" s="96"/>
    </row>
    <row r="161" spans="5:8" x14ac:dyDescent="0.25">
      <c r="E161" s="96"/>
      <c r="G161" s="96"/>
      <c r="H161" s="96"/>
    </row>
    <row r="162" spans="5:8" x14ac:dyDescent="0.25">
      <c r="E162" s="96"/>
      <c r="G162" s="96"/>
      <c r="H162" s="96"/>
    </row>
    <row r="163" spans="5:8" x14ac:dyDescent="0.25">
      <c r="E163" s="96"/>
      <c r="G163" s="96"/>
      <c r="H163" s="96"/>
    </row>
    <row r="164" spans="5:8" x14ac:dyDescent="0.25">
      <c r="E164" s="96"/>
      <c r="G164" s="96"/>
      <c r="H164" s="96"/>
    </row>
    <row r="165" spans="5:8" x14ac:dyDescent="0.25">
      <c r="E165" s="96"/>
      <c r="G165" s="96"/>
      <c r="H165" s="96"/>
    </row>
    <row r="166" spans="5:8" x14ac:dyDescent="0.25">
      <c r="E166" s="96"/>
      <c r="G166" s="96"/>
      <c r="H166" s="96"/>
    </row>
    <row r="167" spans="5:8" x14ac:dyDescent="0.25">
      <c r="E167" s="96"/>
      <c r="G167" s="96"/>
      <c r="H167" s="96"/>
    </row>
    <row r="168" spans="5:8" x14ac:dyDescent="0.25">
      <c r="E168" s="96"/>
      <c r="G168" s="96"/>
      <c r="H168" s="96"/>
    </row>
    <row r="169" spans="5:8" x14ac:dyDescent="0.25">
      <c r="E169" s="96"/>
      <c r="G169" s="96"/>
      <c r="H169" s="96"/>
    </row>
    <row r="170" spans="5:8" x14ac:dyDescent="0.25">
      <c r="E170" s="96"/>
      <c r="G170" s="96"/>
      <c r="H170" s="96"/>
    </row>
    <row r="171" spans="5:8" x14ac:dyDescent="0.25">
      <c r="E171" s="96"/>
      <c r="G171" s="96"/>
      <c r="H171" s="96"/>
    </row>
    <row r="172" spans="5:8" x14ac:dyDescent="0.25">
      <c r="E172" s="96"/>
      <c r="G172" s="96"/>
      <c r="H172" s="96"/>
    </row>
    <row r="173" spans="5:8" x14ac:dyDescent="0.25">
      <c r="E173" s="96"/>
      <c r="G173" s="96"/>
      <c r="H173" s="96"/>
    </row>
    <row r="174" spans="5:8" x14ac:dyDescent="0.25">
      <c r="E174" s="96"/>
      <c r="G174" s="96"/>
      <c r="H174" s="96"/>
    </row>
    <row r="175" spans="5:8" x14ac:dyDescent="0.25">
      <c r="E175" s="96"/>
      <c r="G175" s="96"/>
      <c r="H175" s="96"/>
    </row>
    <row r="176" spans="5:8" x14ac:dyDescent="0.25">
      <c r="E176" s="96"/>
      <c r="G176" s="96"/>
      <c r="H176" s="96"/>
    </row>
    <row r="177" spans="5:8" x14ac:dyDescent="0.25">
      <c r="E177" s="96"/>
      <c r="G177" s="96"/>
      <c r="H177" s="96"/>
    </row>
    <row r="178" spans="5:8" x14ac:dyDescent="0.25">
      <c r="E178" s="96"/>
      <c r="G178" s="96"/>
      <c r="H178" s="96"/>
    </row>
    <row r="179" spans="5:8" x14ac:dyDescent="0.25">
      <c r="E179" s="96"/>
      <c r="G179" s="96"/>
      <c r="H179" s="96"/>
    </row>
    <row r="180" spans="5:8" x14ac:dyDescent="0.25">
      <c r="E180" s="96"/>
      <c r="G180" s="96"/>
      <c r="H180" s="96"/>
    </row>
    <row r="181" spans="5:8" x14ac:dyDescent="0.25">
      <c r="E181" s="96"/>
      <c r="G181" s="96"/>
      <c r="H181" s="96"/>
    </row>
    <row r="182" spans="5:8" x14ac:dyDescent="0.25">
      <c r="E182" s="96"/>
      <c r="G182" s="96"/>
      <c r="H182" s="96"/>
    </row>
    <row r="183" spans="5:8" x14ac:dyDescent="0.25">
      <c r="E183" s="96"/>
      <c r="G183" s="96"/>
      <c r="H183" s="96"/>
    </row>
    <row r="184" spans="5:8" x14ac:dyDescent="0.25">
      <c r="E184" s="96"/>
      <c r="G184" s="96"/>
      <c r="H184" s="96"/>
    </row>
    <row r="185" spans="5:8" x14ac:dyDescent="0.25">
      <c r="E185" s="96"/>
      <c r="G185" s="96"/>
      <c r="H185" s="96"/>
    </row>
    <row r="186" spans="5:8" x14ac:dyDescent="0.25">
      <c r="E186" s="96"/>
      <c r="G186" s="96"/>
      <c r="H186" s="96"/>
    </row>
    <row r="187" spans="5:8" x14ac:dyDescent="0.25">
      <c r="E187" s="96"/>
      <c r="G187" s="96"/>
      <c r="H187" s="96"/>
    </row>
    <row r="188" spans="5:8" x14ac:dyDescent="0.25">
      <c r="E188" s="96"/>
      <c r="G188" s="96"/>
      <c r="H188" s="96"/>
    </row>
    <row r="189" spans="5:8" x14ac:dyDescent="0.25">
      <c r="E189" s="96"/>
      <c r="G189" s="96"/>
      <c r="H189" s="96"/>
    </row>
    <row r="190" spans="5:8" x14ac:dyDescent="0.25">
      <c r="E190" s="96"/>
      <c r="G190" s="96"/>
      <c r="H190" s="96"/>
    </row>
    <row r="191" spans="5:8" x14ac:dyDescent="0.25">
      <c r="E191" s="96"/>
      <c r="G191" s="96"/>
      <c r="H191" s="96"/>
    </row>
    <row r="192" spans="5:8" x14ac:dyDescent="0.25">
      <c r="E192" s="96"/>
      <c r="G192" s="96"/>
      <c r="H192" s="96"/>
    </row>
    <row r="193" spans="5:8" x14ac:dyDescent="0.25">
      <c r="E193" s="96"/>
      <c r="G193" s="96"/>
      <c r="H193" s="96"/>
    </row>
    <row r="194" spans="5:8" x14ac:dyDescent="0.25">
      <c r="E194" s="96"/>
      <c r="G194" s="96"/>
      <c r="H194" s="96"/>
    </row>
    <row r="195" spans="5:8" x14ac:dyDescent="0.25">
      <c r="E195" s="96"/>
      <c r="G195" s="96"/>
      <c r="H195" s="96"/>
    </row>
    <row r="196" spans="5:8" x14ac:dyDescent="0.25">
      <c r="E196" s="96"/>
      <c r="G196" s="96"/>
      <c r="H196" s="96"/>
    </row>
    <row r="197" spans="5:8" x14ac:dyDescent="0.25">
      <c r="E197" s="96"/>
      <c r="G197" s="96"/>
      <c r="H197" s="96"/>
    </row>
    <row r="198" spans="5:8" x14ac:dyDescent="0.25">
      <c r="E198" s="96"/>
      <c r="G198" s="96"/>
      <c r="H198" s="96"/>
    </row>
    <row r="199" spans="5:8" x14ac:dyDescent="0.25">
      <c r="E199" s="96"/>
      <c r="G199" s="96"/>
      <c r="H199" s="96"/>
    </row>
    <row r="200" spans="5:8" x14ac:dyDescent="0.25">
      <c r="E200" s="96"/>
      <c r="G200" s="96"/>
      <c r="H200" s="96"/>
    </row>
    <row r="201" spans="5:8" x14ac:dyDescent="0.25">
      <c r="E201" s="96"/>
      <c r="G201" s="96"/>
      <c r="H201" s="96"/>
    </row>
    <row r="202" spans="5:8" x14ac:dyDescent="0.25">
      <c r="E202" s="96"/>
      <c r="G202" s="96"/>
      <c r="H202" s="96"/>
    </row>
    <row r="203" spans="5:8" x14ac:dyDescent="0.25">
      <c r="E203" s="96"/>
      <c r="G203" s="96"/>
      <c r="H203" s="96"/>
    </row>
    <row r="204" spans="5:8" x14ac:dyDescent="0.25">
      <c r="E204" s="96"/>
      <c r="G204" s="96"/>
      <c r="H204" s="96"/>
    </row>
    <row r="205" spans="5:8" x14ac:dyDescent="0.25">
      <c r="E205" s="96"/>
      <c r="G205" s="96"/>
      <c r="H205" s="96"/>
    </row>
    <row r="206" spans="5:8" x14ac:dyDescent="0.25">
      <c r="E206" s="96"/>
      <c r="G206" s="96"/>
      <c r="H206" s="96"/>
    </row>
    <row r="207" spans="5:8" x14ac:dyDescent="0.25">
      <c r="E207" s="96"/>
      <c r="G207" s="96"/>
      <c r="H207" s="96"/>
    </row>
    <row r="208" spans="5:8" x14ac:dyDescent="0.25">
      <c r="E208" s="96"/>
      <c r="G208" s="96"/>
      <c r="H208" s="96"/>
    </row>
    <row r="209" spans="5:8" x14ac:dyDescent="0.25">
      <c r="E209" s="96"/>
      <c r="G209" s="96"/>
      <c r="H209" s="96"/>
    </row>
    <row r="210" spans="5:8" x14ac:dyDescent="0.25">
      <c r="E210" s="96"/>
      <c r="G210" s="96"/>
      <c r="H210" s="96"/>
    </row>
    <row r="211" spans="5:8" x14ac:dyDescent="0.25">
      <c r="E211" s="96"/>
      <c r="G211" s="96"/>
      <c r="H211" s="96"/>
    </row>
    <row r="212" spans="5:8" x14ac:dyDescent="0.25">
      <c r="E212" s="96"/>
      <c r="G212" s="96"/>
      <c r="H212" s="96"/>
    </row>
    <row r="213" spans="5:8" x14ac:dyDescent="0.25">
      <c r="E213" s="96"/>
      <c r="G213" s="96"/>
      <c r="H213" s="96"/>
    </row>
    <row r="214" spans="5:8" x14ac:dyDescent="0.25">
      <c r="E214" s="96"/>
      <c r="G214" s="96"/>
      <c r="H214" s="96"/>
    </row>
    <row r="215" spans="5:8" x14ac:dyDescent="0.25">
      <c r="E215" s="96"/>
      <c r="G215" s="96"/>
      <c r="H215" s="96"/>
    </row>
    <row r="216" spans="5:8" x14ac:dyDescent="0.25">
      <c r="E216" s="96"/>
      <c r="G216" s="96"/>
      <c r="H216" s="96"/>
    </row>
    <row r="217" spans="5:8" x14ac:dyDescent="0.25">
      <c r="E217" s="96"/>
      <c r="G217" s="96"/>
      <c r="H217" s="96"/>
    </row>
    <row r="218" spans="5:8" x14ac:dyDescent="0.25">
      <c r="E218" s="96"/>
      <c r="G218" s="96"/>
      <c r="H218" s="96"/>
    </row>
    <row r="219" spans="5:8" x14ac:dyDescent="0.25">
      <c r="E219" s="96"/>
      <c r="G219" s="96"/>
      <c r="H219" s="96"/>
    </row>
    <row r="220" spans="5:8" x14ac:dyDescent="0.25">
      <c r="E220" s="96"/>
      <c r="G220" s="96"/>
      <c r="H220" s="96"/>
    </row>
    <row r="221" spans="5:8" x14ac:dyDescent="0.25">
      <c r="E221" s="96"/>
      <c r="G221" s="96"/>
      <c r="H221" s="96"/>
    </row>
    <row r="222" spans="5:8" x14ac:dyDescent="0.25">
      <c r="E222" s="96"/>
      <c r="G222" s="96"/>
      <c r="H222" s="96"/>
    </row>
    <row r="223" spans="5:8" x14ac:dyDescent="0.25">
      <c r="E223" s="96"/>
      <c r="G223" s="96"/>
      <c r="H223" s="96"/>
    </row>
    <row r="224" spans="5:8" x14ac:dyDescent="0.25">
      <c r="E224" s="96"/>
      <c r="G224" s="96"/>
      <c r="H224" s="96"/>
    </row>
    <row r="225" spans="5:8" x14ac:dyDescent="0.25">
      <c r="E225" s="96"/>
      <c r="G225" s="96"/>
      <c r="H225" s="96"/>
    </row>
    <row r="226" spans="5:8" x14ac:dyDescent="0.25">
      <c r="E226" s="96"/>
      <c r="G226" s="96"/>
      <c r="H226" s="96"/>
    </row>
    <row r="227" spans="5:8" x14ac:dyDescent="0.25">
      <c r="E227" s="96"/>
      <c r="G227" s="96"/>
      <c r="H227" s="96"/>
    </row>
    <row r="228" spans="5:8" x14ac:dyDescent="0.25">
      <c r="E228" s="96"/>
      <c r="G228" s="96"/>
      <c r="H228" s="96"/>
    </row>
    <row r="229" spans="5:8" x14ac:dyDescent="0.25">
      <c r="E229" s="96"/>
      <c r="G229" s="96"/>
      <c r="H229" s="96"/>
    </row>
    <row r="230" spans="5:8" x14ac:dyDescent="0.25">
      <c r="E230" s="96"/>
      <c r="G230" s="96"/>
      <c r="H230" s="96"/>
    </row>
    <row r="231" spans="5:8" x14ac:dyDescent="0.25">
      <c r="E231" s="96"/>
      <c r="G231" s="96"/>
      <c r="H231" s="96"/>
    </row>
    <row r="232" spans="5:8" x14ac:dyDescent="0.25">
      <c r="E232" s="96"/>
      <c r="G232" s="96"/>
      <c r="H232" s="96"/>
    </row>
    <row r="233" spans="5:8" x14ac:dyDescent="0.25">
      <c r="E233" s="96"/>
      <c r="G233" s="96"/>
      <c r="H233" s="96"/>
    </row>
    <row r="234" spans="5:8" x14ac:dyDescent="0.25">
      <c r="E234" s="96"/>
      <c r="G234" s="96"/>
      <c r="H234" s="96"/>
    </row>
    <row r="235" spans="5:8" x14ac:dyDescent="0.25">
      <c r="E235" s="96"/>
      <c r="G235" s="96"/>
      <c r="H235" s="96"/>
    </row>
    <row r="236" spans="5:8" x14ac:dyDescent="0.25">
      <c r="E236" s="96"/>
      <c r="G236" s="96"/>
      <c r="H236" s="96"/>
    </row>
    <row r="237" spans="5:8" x14ac:dyDescent="0.25">
      <c r="E237" s="96"/>
      <c r="G237" s="96"/>
      <c r="H237" s="96"/>
    </row>
    <row r="238" spans="5:8" x14ac:dyDescent="0.25">
      <c r="E238" s="96"/>
      <c r="G238" s="96"/>
      <c r="H238" s="96"/>
    </row>
    <row r="239" spans="5:8" x14ac:dyDescent="0.25">
      <c r="E239" s="96"/>
      <c r="G239" s="96"/>
      <c r="H239" s="96"/>
    </row>
    <row r="240" spans="5:8" x14ac:dyDescent="0.25">
      <c r="E240" s="96"/>
      <c r="G240" s="96"/>
      <c r="H240" s="96"/>
    </row>
    <row r="241" spans="5:8" x14ac:dyDescent="0.25">
      <c r="E241" s="96"/>
      <c r="G241" s="96"/>
      <c r="H241" s="96"/>
    </row>
    <row r="242" spans="5:8" x14ac:dyDescent="0.25">
      <c r="E242" s="96"/>
      <c r="G242" s="96"/>
      <c r="H242" s="96"/>
    </row>
    <row r="243" spans="5:8" x14ac:dyDescent="0.25">
      <c r="E243" s="96"/>
      <c r="G243" s="96"/>
      <c r="H243" s="96"/>
    </row>
    <row r="244" spans="5:8" x14ac:dyDescent="0.25">
      <c r="E244" s="96"/>
      <c r="G244" s="96"/>
      <c r="H244" s="96"/>
    </row>
    <row r="245" spans="5:8" x14ac:dyDescent="0.25">
      <c r="E245" s="96"/>
      <c r="G245" s="96"/>
      <c r="H245" s="96"/>
    </row>
    <row r="246" spans="5:8" x14ac:dyDescent="0.25">
      <c r="E246" s="96"/>
      <c r="G246" s="96"/>
      <c r="H246" s="96"/>
    </row>
    <row r="247" spans="5:8" x14ac:dyDescent="0.25">
      <c r="E247" s="96"/>
      <c r="G247" s="96"/>
      <c r="H247" s="96"/>
    </row>
    <row r="248" spans="5:8" x14ac:dyDescent="0.25">
      <c r="E248" s="96"/>
      <c r="G248" s="96"/>
      <c r="H248" s="96"/>
    </row>
    <row r="249" spans="5:8" x14ac:dyDescent="0.25">
      <c r="E249" s="96"/>
      <c r="G249" s="96"/>
      <c r="H249" s="96"/>
    </row>
    <row r="250" spans="5:8" x14ac:dyDescent="0.25">
      <c r="E250" s="96"/>
      <c r="G250" s="96"/>
      <c r="H250" s="96"/>
    </row>
    <row r="251" spans="5:8" x14ac:dyDescent="0.25">
      <c r="E251" s="96"/>
      <c r="G251" s="96"/>
      <c r="H251" s="96"/>
    </row>
    <row r="252" spans="5:8" x14ac:dyDescent="0.25">
      <c r="E252" s="96"/>
      <c r="G252" s="96"/>
      <c r="H252" s="96"/>
    </row>
    <row r="253" spans="5:8" x14ac:dyDescent="0.25">
      <c r="E253" s="96"/>
      <c r="G253" s="96"/>
      <c r="H253" s="96"/>
    </row>
    <row r="254" spans="5:8" x14ac:dyDescent="0.25">
      <c r="E254" s="96"/>
      <c r="G254" s="96"/>
      <c r="H254" s="96"/>
    </row>
    <row r="255" spans="5:8" x14ac:dyDescent="0.25">
      <c r="E255" s="96"/>
      <c r="G255" s="96"/>
      <c r="H255" s="96"/>
    </row>
    <row r="256" spans="5:8" x14ac:dyDescent="0.25">
      <c r="E256" s="96"/>
      <c r="G256" s="96"/>
      <c r="H256" s="96"/>
    </row>
    <row r="257" spans="5:8" x14ac:dyDescent="0.25">
      <c r="E257" s="96"/>
      <c r="G257" s="96"/>
      <c r="H257" s="96"/>
    </row>
    <row r="258" spans="5:8" x14ac:dyDescent="0.25">
      <c r="E258" s="96"/>
      <c r="G258" s="96"/>
      <c r="H258" s="96"/>
    </row>
    <row r="259" spans="5:8" x14ac:dyDescent="0.25">
      <c r="E259" s="96"/>
      <c r="G259" s="96"/>
      <c r="H259" s="96"/>
    </row>
    <row r="260" spans="5:8" x14ac:dyDescent="0.25">
      <c r="E260" s="96"/>
      <c r="G260" s="96"/>
      <c r="H260" s="96"/>
    </row>
    <row r="261" spans="5:8" x14ac:dyDescent="0.25">
      <c r="E261" s="96"/>
      <c r="G261" s="96"/>
      <c r="H261" s="96"/>
    </row>
    <row r="262" spans="5:8" x14ac:dyDescent="0.25">
      <c r="E262" s="96"/>
      <c r="G262" s="96"/>
      <c r="H262" s="96"/>
    </row>
    <row r="263" spans="5:8" x14ac:dyDescent="0.25">
      <c r="E263" s="96"/>
      <c r="G263" s="96"/>
      <c r="H263" s="96"/>
    </row>
    <row r="264" spans="5:8" x14ac:dyDescent="0.25">
      <c r="E264" s="96"/>
      <c r="G264" s="96"/>
      <c r="H264" s="96"/>
    </row>
    <row r="265" spans="5:8" x14ac:dyDescent="0.25">
      <c r="E265" s="96"/>
      <c r="G265" s="96"/>
      <c r="H265" s="96"/>
    </row>
    <row r="266" spans="5:8" x14ac:dyDescent="0.25">
      <c r="E266" s="96"/>
      <c r="G266" s="96"/>
      <c r="H266" s="96"/>
    </row>
    <row r="267" spans="5:8" x14ac:dyDescent="0.25">
      <c r="E267" s="96"/>
      <c r="G267" s="96"/>
      <c r="H267" s="96"/>
    </row>
    <row r="268" spans="5:8" x14ac:dyDescent="0.25">
      <c r="E268" s="96"/>
      <c r="G268" s="96"/>
      <c r="H268" s="96"/>
    </row>
    <row r="269" spans="5:8" x14ac:dyDescent="0.25">
      <c r="E269" s="96"/>
      <c r="G269" s="96"/>
      <c r="H269" s="96"/>
    </row>
    <row r="270" spans="5:8" x14ac:dyDescent="0.25">
      <c r="E270" s="96"/>
      <c r="G270" s="96"/>
      <c r="H270" s="96"/>
    </row>
    <row r="271" spans="5:8" x14ac:dyDescent="0.25">
      <c r="E271" s="96"/>
      <c r="G271" s="96"/>
      <c r="H271" s="96"/>
    </row>
    <row r="272" spans="5:8" x14ac:dyDescent="0.25">
      <c r="E272" s="96"/>
      <c r="G272" s="96"/>
      <c r="H272" s="96"/>
    </row>
    <row r="273" spans="5:8" x14ac:dyDescent="0.25">
      <c r="E273" s="96"/>
      <c r="G273" s="96"/>
      <c r="H273" s="96"/>
    </row>
    <row r="274" spans="5:8" x14ac:dyDescent="0.25">
      <c r="E274" s="96"/>
      <c r="G274" s="96"/>
      <c r="H274" s="96"/>
    </row>
    <row r="275" spans="5:8" x14ac:dyDescent="0.25">
      <c r="E275" s="96"/>
      <c r="G275" s="96"/>
      <c r="H275" s="96"/>
    </row>
    <row r="276" spans="5:8" x14ac:dyDescent="0.25">
      <c r="E276" s="96"/>
      <c r="G276" s="96"/>
      <c r="H276" s="96"/>
    </row>
    <row r="277" spans="5:8" x14ac:dyDescent="0.25">
      <c r="E277" s="96"/>
      <c r="G277" s="96"/>
      <c r="H277" s="96"/>
    </row>
    <row r="278" spans="5:8" x14ac:dyDescent="0.25">
      <c r="E278" s="96"/>
      <c r="G278" s="96"/>
      <c r="H278" s="96"/>
    </row>
    <row r="279" spans="5:8" x14ac:dyDescent="0.25">
      <c r="E279" s="96"/>
      <c r="G279" s="96"/>
      <c r="H279" s="96"/>
    </row>
    <row r="280" spans="5:8" x14ac:dyDescent="0.25">
      <c r="E280" s="96"/>
      <c r="G280" s="96"/>
      <c r="H280" s="96"/>
    </row>
    <row r="281" spans="5:8" x14ac:dyDescent="0.25">
      <c r="E281" s="96"/>
      <c r="G281" s="96"/>
      <c r="H281" s="96"/>
    </row>
    <row r="282" spans="5:8" x14ac:dyDescent="0.25">
      <c r="E282" s="96"/>
      <c r="G282" s="96"/>
      <c r="H282" s="96"/>
    </row>
    <row r="283" spans="5:8" x14ac:dyDescent="0.25">
      <c r="E283" s="96"/>
      <c r="G283" s="96"/>
      <c r="H283" s="96"/>
    </row>
    <row r="284" spans="5:8" x14ac:dyDescent="0.25">
      <c r="E284" s="96"/>
      <c r="G284" s="96"/>
      <c r="H284" s="96"/>
    </row>
    <row r="285" spans="5:8" x14ac:dyDescent="0.25">
      <c r="E285" s="96"/>
      <c r="G285" s="96"/>
      <c r="H285" s="96"/>
    </row>
    <row r="286" spans="5:8" x14ac:dyDescent="0.25">
      <c r="E286" s="96"/>
      <c r="G286" s="96"/>
      <c r="H286" s="96"/>
    </row>
    <row r="287" spans="5:8" x14ac:dyDescent="0.25">
      <c r="E287" s="96"/>
      <c r="G287" s="96"/>
      <c r="H287" s="96"/>
    </row>
    <row r="288" spans="5:8" x14ac:dyDescent="0.25">
      <c r="E288" s="96"/>
      <c r="G288" s="96"/>
      <c r="H288" s="96"/>
    </row>
    <row r="289" spans="5:8" x14ac:dyDescent="0.25">
      <c r="E289" s="96"/>
      <c r="G289" s="96"/>
      <c r="H289" s="96"/>
    </row>
    <row r="290" spans="5:8" x14ac:dyDescent="0.25">
      <c r="E290" s="96"/>
      <c r="G290" s="96"/>
      <c r="H290" s="96"/>
    </row>
    <row r="291" spans="5:8" x14ac:dyDescent="0.25">
      <c r="E291" s="96"/>
      <c r="G291" s="96"/>
      <c r="H291" s="96"/>
    </row>
    <row r="292" spans="5:8" x14ac:dyDescent="0.25">
      <c r="E292" s="96"/>
      <c r="G292" s="96"/>
      <c r="H292" s="96"/>
    </row>
    <row r="293" spans="5:8" x14ac:dyDescent="0.25">
      <c r="E293" s="96"/>
      <c r="G293" s="96"/>
      <c r="H293" s="96"/>
    </row>
    <row r="294" spans="5:8" x14ac:dyDescent="0.25">
      <c r="E294" s="96"/>
      <c r="G294" s="96"/>
      <c r="H294" s="96"/>
    </row>
    <row r="295" spans="5:8" x14ac:dyDescent="0.25">
      <c r="E295" s="96"/>
      <c r="G295" s="96"/>
      <c r="H295" s="96"/>
    </row>
    <row r="296" spans="5:8" x14ac:dyDescent="0.25">
      <c r="E296" s="96"/>
      <c r="G296" s="96"/>
      <c r="H296" s="96"/>
    </row>
    <row r="297" spans="5:8" x14ac:dyDescent="0.25">
      <c r="E297" s="96"/>
      <c r="G297" s="96"/>
      <c r="H297" s="96"/>
    </row>
    <row r="298" spans="5:8" x14ac:dyDescent="0.25">
      <c r="E298" s="96"/>
      <c r="G298" s="96"/>
      <c r="H298" s="96"/>
    </row>
    <row r="299" spans="5:8" x14ac:dyDescent="0.25">
      <c r="E299" s="96"/>
      <c r="G299" s="96"/>
      <c r="H299" s="96"/>
    </row>
    <row r="300" spans="5:8" x14ac:dyDescent="0.25">
      <c r="E300" s="96"/>
      <c r="G300" s="96"/>
      <c r="H300" s="96"/>
    </row>
    <row r="301" spans="5:8" x14ac:dyDescent="0.25">
      <c r="E301" s="96"/>
      <c r="G301" s="96"/>
      <c r="H301" s="96"/>
    </row>
    <row r="302" spans="5:8" x14ac:dyDescent="0.25">
      <c r="E302" s="96"/>
      <c r="G302" s="96"/>
      <c r="H302" s="96"/>
    </row>
    <row r="303" spans="5:8" x14ac:dyDescent="0.25">
      <c r="E303" s="96"/>
      <c r="G303" s="96"/>
      <c r="H303" s="96"/>
    </row>
    <row r="304" spans="5:8" x14ac:dyDescent="0.25">
      <c r="E304" s="96"/>
      <c r="G304" s="96"/>
      <c r="H304" s="96"/>
    </row>
    <row r="305" spans="5:8" x14ac:dyDescent="0.25">
      <c r="E305" s="96"/>
      <c r="G305" s="96"/>
      <c r="H305" s="96"/>
    </row>
    <row r="306" spans="5:8" x14ac:dyDescent="0.25">
      <c r="E306" s="96"/>
      <c r="G306" s="96"/>
      <c r="H306" s="96"/>
    </row>
    <row r="307" spans="5:8" x14ac:dyDescent="0.25">
      <c r="E307" s="96"/>
      <c r="G307" s="96"/>
      <c r="H307" s="96"/>
    </row>
    <row r="308" spans="5:8" x14ac:dyDescent="0.25">
      <c r="E308" s="96"/>
      <c r="G308" s="96"/>
      <c r="H308" s="96"/>
    </row>
    <row r="309" spans="5:8" x14ac:dyDescent="0.25">
      <c r="E309" s="96"/>
      <c r="G309" s="96"/>
      <c r="H309" s="96"/>
    </row>
    <row r="310" spans="5:8" x14ac:dyDescent="0.25">
      <c r="E310" s="96"/>
      <c r="G310" s="96"/>
      <c r="H310" s="96"/>
    </row>
    <row r="311" spans="5:8" x14ac:dyDescent="0.25">
      <c r="E311" s="96"/>
      <c r="G311" s="96"/>
      <c r="H311" s="96"/>
    </row>
    <row r="312" spans="5:8" x14ac:dyDescent="0.25">
      <c r="E312" s="96"/>
      <c r="G312" s="96"/>
      <c r="H312" s="96"/>
    </row>
    <row r="313" spans="5:8" x14ac:dyDescent="0.25">
      <c r="E313" s="96"/>
      <c r="G313" s="96"/>
      <c r="H313" s="96"/>
    </row>
    <row r="314" spans="5:8" x14ac:dyDescent="0.25">
      <c r="E314" s="96"/>
      <c r="G314" s="96"/>
      <c r="H314" s="96"/>
    </row>
    <row r="315" spans="5:8" x14ac:dyDescent="0.25">
      <c r="E315" s="96"/>
      <c r="G315" s="96"/>
      <c r="H315" s="96"/>
    </row>
    <row r="316" spans="5:8" x14ac:dyDescent="0.25">
      <c r="E316" s="96"/>
      <c r="G316" s="96"/>
      <c r="H316" s="96"/>
    </row>
    <row r="317" spans="5:8" x14ac:dyDescent="0.25">
      <c r="E317" s="96"/>
      <c r="G317" s="96"/>
      <c r="H317" s="96"/>
    </row>
    <row r="318" spans="5:8" x14ac:dyDescent="0.25">
      <c r="E318" s="96"/>
      <c r="G318" s="96"/>
      <c r="H318" s="96"/>
    </row>
    <row r="319" spans="5:8" x14ac:dyDescent="0.25">
      <c r="E319" s="96"/>
      <c r="G319" s="96"/>
      <c r="H319" s="96"/>
    </row>
    <row r="320" spans="5:8" x14ac:dyDescent="0.25">
      <c r="E320" s="96"/>
      <c r="G320" s="96"/>
      <c r="H320" s="96"/>
    </row>
    <row r="321" spans="5:8" x14ac:dyDescent="0.25">
      <c r="E321" s="96"/>
      <c r="G321" s="96"/>
      <c r="H321" s="96"/>
    </row>
    <row r="322" spans="5:8" x14ac:dyDescent="0.25">
      <c r="E322" s="96"/>
      <c r="G322" s="96"/>
      <c r="H322" s="96"/>
    </row>
    <row r="323" spans="5:8" x14ac:dyDescent="0.25">
      <c r="E323" s="96"/>
      <c r="G323" s="96"/>
      <c r="H323" s="96"/>
    </row>
    <row r="324" spans="5:8" x14ac:dyDescent="0.25">
      <c r="E324" s="96"/>
      <c r="G324" s="96"/>
      <c r="H324" s="96"/>
    </row>
    <row r="325" spans="5:8" x14ac:dyDescent="0.25">
      <c r="E325" s="96"/>
      <c r="G325" s="96"/>
      <c r="H325" s="96"/>
    </row>
    <row r="326" spans="5:8" x14ac:dyDescent="0.25">
      <c r="E326" s="96"/>
      <c r="H326" s="96"/>
    </row>
    <row r="327" spans="5:8" x14ac:dyDescent="0.25">
      <c r="E327" s="96"/>
      <c r="H327" s="96"/>
    </row>
    <row r="328" spans="5:8" x14ac:dyDescent="0.25">
      <c r="E328" s="96"/>
      <c r="H328" s="96"/>
    </row>
    <row r="329" spans="5:8" x14ac:dyDescent="0.25">
      <c r="E329" s="96"/>
      <c r="H329" s="96"/>
    </row>
    <row r="330" spans="5:8" x14ac:dyDescent="0.25">
      <c r="E330" s="96"/>
      <c r="H330" s="96"/>
    </row>
    <row r="331" spans="5:8" x14ac:dyDescent="0.25">
      <c r="E331" s="96"/>
      <c r="H331" s="96"/>
    </row>
    <row r="332" spans="5:8" x14ac:dyDescent="0.25">
      <c r="E332" s="96"/>
      <c r="H332" s="96"/>
    </row>
    <row r="333" spans="5:8" x14ac:dyDescent="0.25">
      <c r="E333" s="96"/>
      <c r="H333" s="96"/>
    </row>
    <row r="334" spans="5:8" x14ac:dyDescent="0.25">
      <c r="E334" s="96"/>
      <c r="H334" s="96"/>
    </row>
    <row r="335" spans="5:8" x14ac:dyDescent="0.25">
      <c r="E335" s="96"/>
      <c r="H335" s="96"/>
    </row>
    <row r="336" spans="5:8" x14ac:dyDescent="0.25">
      <c r="E336" s="96"/>
      <c r="H336" s="96"/>
    </row>
    <row r="337" spans="5:8" x14ac:dyDescent="0.25">
      <c r="E337" s="96"/>
      <c r="H337" s="96"/>
    </row>
    <row r="338" spans="5:8" x14ac:dyDescent="0.25">
      <c r="E338" s="96"/>
      <c r="H338" s="96"/>
    </row>
    <row r="339" spans="5:8" x14ac:dyDescent="0.25">
      <c r="E339" s="96"/>
      <c r="H339" s="96"/>
    </row>
    <row r="340" spans="5:8" x14ac:dyDescent="0.25">
      <c r="E340" s="96"/>
      <c r="H340" s="96"/>
    </row>
    <row r="341" spans="5:8" x14ac:dyDescent="0.25">
      <c r="E341" s="96"/>
      <c r="H341" s="96"/>
    </row>
    <row r="342" spans="5:8" x14ac:dyDescent="0.25">
      <c r="E342" s="96"/>
      <c r="H342" s="96"/>
    </row>
    <row r="343" spans="5:8" x14ac:dyDescent="0.25">
      <c r="E343" s="96"/>
      <c r="H343" s="96"/>
    </row>
    <row r="344" spans="5:8" x14ac:dyDescent="0.25">
      <c r="E344" s="96"/>
      <c r="H344" s="96"/>
    </row>
    <row r="345" spans="5:8" x14ac:dyDescent="0.25">
      <c r="E345" s="96"/>
      <c r="H345" s="96"/>
    </row>
    <row r="346" spans="5:8" x14ac:dyDescent="0.25">
      <c r="E346" s="96"/>
      <c r="H346" s="96"/>
    </row>
    <row r="347" spans="5:8" x14ac:dyDescent="0.25">
      <c r="E347" s="96"/>
      <c r="H347" s="96"/>
    </row>
    <row r="348" spans="5:8" x14ac:dyDescent="0.25">
      <c r="E348" s="96"/>
      <c r="H348" s="96"/>
    </row>
    <row r="349" spans="5:8" x14ac:dyDescent="0.25">
      <c r="E349" s="96"/>
      <c r="H349" s="96"/>
    </row>
    <row r="350" spans="5:8" x14ac:dyDescent="0.25">
      <c r="E350" s="96"/>
      <c r="H350" s="96"/>
    </row>
    <row r="351" spans="5:8" x14ac:dyDescent="0.25">
      <c r="E351" s="96"/>
      <c r="H351" s="96"/>
    </row>
    <row r="352" spans="5:8" x14ac:dyDescent="0.25">
      <c r="E352" s="96"/>
      <c r="H352" s="96"/>
    </row>
    <row r="353" spans="5:8" x14ac:dyDescent="0.25">
      <c r="E353" s="96"/>
      <c r="H353" s="96"/>
    </row>
    <row r="354" spans="5:8" x14ac:dyDescent="0.25">
      <c r="E354" s="96"/>
      <c r="H354" s="96"/>
    </row>
    <row r="355" spans="5:8" x14ac:dyDescent="0.25">
      <c r="E355" s="96"/>
      <c r="H355" s="96"/>
    </row>
    <row r="356" spans="5:8" x14ac:dyDescent="0.25">
      <c r="E356" s="96"/>
      <c r="H356" s="96"/>
    </row>
    <row r="357" spans="5:8" x14ac:dyDescent="0.25">
      <c r="E357" s="96"/>
      <c r="H357" s="96"/>
    </row>
    <row r="358" spans="5:8" x14ac:dyDescent="0.25">
      <c r="E358" s="96"/>
      <c r="H358" s="96"/>
    </row>
    <row r="359" spans="5:8" x14ac:dyDescent="0.25">
      <c r="E359" s="96"/>
    </row>
    <row r="360" spans="5:8" x14ac:dyDescent="0.25">
      <c r="E360" s="96"/>
      <c r="H360" s="96"/>
    </row>
    <row r="361" spans="5:8" x14ac:dyDescent="0.25">
      <c r="E361" s="96"/>
    </row>
    <row r="362" spans="5:8" x14ac:dyDescent="0.25">
      <c r="E362" s="96"/>
    </row>
    <row r="363" spans="5:8" x14ac:dyDescent="0.25">
      <c r="E363" s="96"/>
    </row>
    <row r="364" spans="5:8" x14ac:dyDescent="0.25">
      <c r="E364" s="96"/>
    </row>
    <row r="365" spans="5:8" x14ac:dyDescent="0.25">
      <c r="E365" s="96"/>
    </row>
    <row r="366" spans="5:8" x14ac:dyDescent="0.25">
      <c r="E366" s="96"/>
    </row>
    <row r="367" spans="5:8" x14ac:dyDescent="0.25">
      <c r="E367" s="96"/>
    </row>
    <row r="368" spans="5:8" x14ac:dyDescent="0.25">
      <c r="E368" s="96"/>
    </row>
    <row r="369" spans="5:8" x14ac:dyDescent="0.25">
      <c r="E369" s="96"/>
    </row>
    <row r="370" spans="5:8" x14ac:dyDescent="0.25">
      <c r="E370" s="96"/>
    </row>
    <row r="371" spans="5:8" x14ac:dyDescent="0.25">
      <c r="E371" s="96"/>
    </row>
    <row r="372" spans="5:8" x14ac:dyDescent="0.25">
      <c r="E372" s="96"/>
      <c r="H372" s="96"/>
    </row>
    <row r="373" spans="5:8" x14ac:dyDescent="0.25">
      <c r="E373" s="96"/>
    </row>
    <row r="374" spans="5:8" x14ac:dyDescent="0.25">
      <c r="E374" s="96"/>
      <c r="H374" s="95"/>
    </row>
    <row r="375" spans="5:8" x14ac:dyDescent="0.25">
      <c r="E375" s="96"/>
    </row>
    <row r="376" spans="5:8" x14ac:dyDescent="0.25">
      <c r="E376" s="96"/>
    </row>
    <row r="377" spans="5:8" x14ac:dyDescent="0.25">
      <c r="E377" s="96"/>
    </row>
    <row r="378" spans="5:8" x14ac:dyDescent="0.25">
      <c r="E378" s="96"/>
    </row>
    <row r="379" spans="5:8" x14ac:dyDescent="0.25">
      <c r="E379" s="96"/>
    </row>
    <row r="380" spans="5:8" x14ac:dyDescent="0.25">
      <c r="E380" s="96"/>
    </row>
    <row r="381" spans="5:8" x14ac:dyDescent="0.25">
      <c r="E381" s="96"/>
    </row>
    <row r="382" spans="5:8" x14ac:dyDescent="0.25">
      <c r="E382" s="96"/>
    </row>
    <row r="383" spans="5:8" x14ac:dyDescent="0.25">
      <c r="E383" s="96"/>
    </row>
    <row r="384" spans="5:8" x14ac:dyDescent="0.25">
      <c r="E384" s="96"/>
    </row>
    <row r="385" spans="5:5" x14ac:dyDescent="0.25">
      <c r="E385" s="96"/>
    </row>
    <row r="386" spans="5:5" x14ac:dyDescent="0.25">
      <c r="E386" s="96"/>
    </row>
    <row r="387" spans="5:5" x14ac:dyDescent="0.25">
      <c r="E387" s="96"/>
    </row>
    <row r="388" spans="5:5" x14ac:dyDescent="0.25">
      <c r="E388" s="96"/>
    </row>
    <row r="389" spans="5:5" x14ac:dyDescent="0.25">
      <c r="E389" s="96"/>
    </row>
    <row r="390" spans="5:5" x14ac:dyDescent="0.25">
      <c r="E390" s="96"/>
    </row>
    <row r="391" spans="5:5" x14ac:dyDescent="0.25">
      <c r="E391" s="96"/>
    </row>
    <row r="392" spans="5:5" x14ac:dyDescent="0.25">
      <c r="E392" s="96"/>
    </row>
    <row r="393" spans="5:5" x14ac:dyDescent="0.25">
      <c r="E393" s="96"/>
    </row>
    <row r="394" spans="5:5" x14ac:dyDescent="0.25">
      <c r="E394" s="96"/>
    </row>
    <row r="395" spans="5:5" x14ac:dyDescent="0.25">
      <c r="E395" s="96"/>
    </row>
    <row r="396" spans="5:5" x14ac:dyDescent="0.25">
      <c r="E396" s="96"/>
    </row>
    <row r="397" spans="5:5" x14ac:dyDescent="0.25">
      <c r="E397" s="96"/>
    </row>
    <row r="398" spans="5:5" x14ac:dyDescent="0.25">
      <c r="E398" s="96"/>
    </row>
    <row r="399" spans="5:5" x14ac:dyDescent="0.25">
      <c r="E399" s="96"/>
    </row>
    <row r="400" spans="5:5" x14ac:dyDescent="0.25">
      <c r="E400" s="96"/>
    </row>
    <row r="401" spans="5:5" x14ac:dyDescent="0.25">
      <c r="E401" s="96"/>
    </row>
    <row r="402" spans="5:5" x14ac:dyDescent="0.25">
      <c r="E402" s="96"/>
    </row>
    <row r="403" spans="5:5" x14ac:dyDescent="0.25">
      <c r="E403" s="96"/>
    </row>
    <row r="404" spans="5:5" x14ac:dyDescent="0.25">
      <c r="E404" s="96"/>
    </row>
    <row r="405" spans="5:5" x14ac:dyDescent="0.25">
      <c r="E405" s="96"/>
    </row>
    <row r="406" spans="5:5" x14ac:dyDescent="0.25">
      <c r="E406" s="96"/>
    </row>
    <row r="407" spans="5:5" x14ac:dyDescent="0.25">
      <c r="E407" s="96"/>
    </row>
    <row r="408" spans="5:5" x14ac:dyDescent="0.25">
      <c r="E408" s="96"/>
    </row>
    <row r="409" spans="5:5" x14ac:dyDescent="0.25">
      <c r="E409" s="96"/>
    </row>
    <row r="410" spans="5:5" x14ac:dyDescent="0.25">
      <c r="E410" s="96"/>
    </row>
    <row r="411" spans="5:5" x14ac:dyDescent="0.25">
      <c r="E411" s="96"/>
    </row>
    <row r="412" spans="5:5" x14ac:dyDescent="0.25">
      <c r="E412" s="96"/>
    </row>
    <row r="413" spans="5:5" x14ac:dyDescent="0.25">
      <c r="E413" s="96"/>
    </row>
    <row r="414" spans="5:5" x14ac:dyDescent="0.25">
      <c r="E414" s="96"/>
    </row>
    <row r="415" spans="5:5" x14ac:dyDescent="0.25">
      <c r="E415" s="96"/>
    </row>
    <row r="416" spans="5:5" x14ac:dyDescent="0.25">
      <c r="E416" s="96"/>
    </row>
    <row r="417" spans="5:5" x14ac:dyDescent="0.25">
      <c r="E417" s="96"/>
    </row>
    <row r="418" spans="5:5" x14ac:dyDescent="0.25">
      <c r="E418" s="96"/>
    </row>
    <row r="419" spans="5:5" x14ac:dyDescent="0.25">
      <c r="E419" s="96"/>
    </row>
    <row r="420" spans="5:5" x14ac:dyDescent="0.25">
      <c r="E420" s="96"/>
    </row>
    <row r="421" spans="5:5" x14ac:dyDescent="0.25">
      <c r="E421" s="96"/>
    </row>
    <row r="422" spans="5:5" x14ac:dyDescent="0.25">
      <c r="E422" s="96"/>
    </row>
    <row r="423" spans="5:5" x14ac:dyDescent="0.25">
      <c r="E423" s="96"/>
    </row>
    <row r="424" spans="5:5" x14ac:dyDescent="0.25">
      <c r="E424" s="96"/>
    </row>
    <row r="425" spans="5:5" x14ac:dyDescent="0.25">
      <c r="E425" s="96"/>
    </row>
    <row r="426" spans="5:5" x14ac:dyDescent="0.25">
      <c r="E426" s="96"/>
    </row>
    <row r="427" spans="5:5" x14ac:dyDescent="0.25">
      <c r="E427" s="96"/>
    </row>
    <row r="428" spans="5:5" x14ac:dyDescent="0.25">
      <c r="E428" s="96"/>
    </row>
    <row r="429" spans="5:5" x14ac:dyDescent="0.25">
      <c r="E429" s="96"/>
    </row>
    <row r="430" spans="5:5" x14ac:dyDescent="0.25">
      <c r="E430" s="96"/>
    </row>
    <row r="431" spans="5:5" x14ac:dyDescent="0.25">
      <c r="E431" s="96"/>
    </row>
    <row r="432" spans="5:5" x14ac:dyDescent="0.25">
      <c r="E432" s="96"/>
    </row>
    <row r="433" spans="5:5" x14ac:dyDescent="0.25">
      <c r="E433" s="96"/>
    </row>
    <row r="434" spans="5:5" x14ac:dyDescent="0.25">
      <c r="E434" s="96"/>
    </row>
    <row r="435" spans="5:5" x14ac:dyDescent="0.25">
      <c r="E435" s="96"/>
    </row>
    <row r="436" spans="5:5" x14ac:dyDescent="0.25">
      <c r="E436" s="96"/>
    </row>
    <row r="437" spans="5:5" x14ac:dyDescent="0.25">
      <c r="E437" s="96"/>
    </row>
    <row r="438" spans="5:5" x14ac:dyDescent="0.25">
      <c r="E438" s="96"/>
    </row>
    <row r="439" spans="5:5" x14ac:dyDescent="0.25">
      <c r="E439" s="96"/>
    </row>
    <row r="440" spans="5:5" x14ac:dyDescent="0.25">
      <c r="E440" s="96"/>
    </row>
    <row r="441" spans="5:5" x14ac:dyDescent="0.25">
      <c r="E441" s="95"/>
    </row>
    <row r="442" spans="5:5" x14ac:dyDescent="0.25">
      <c r="E442" s="95"/>
    </row>
    <row r="443" spans="5:5" x14ac:dyDescent="0.25">
      <c r="E443" s="95"/>
    </row>
    <row r="444" spans="5:5" x14ac:dyDescent="0.25">
      <c r="E444" s="95"/>
    </row>
    <row r="445" spans="5:5" x14ac:dyDescent="0.25">
      <c r="E445" s="95"/>
    </row>
    <row r="446" spans="5:5" x14ac:dyDescent="0.25">
      <c r="E446" s="95"/>
    </row>
    <row r="447" spans="5:5" x14ac:dyDescent="0.25">
      <c r="E447" s="95"/>
    </row>
    <row r="448" spans="5:5" x14ac:dyDescent="0.25">
      <c r="E448" s="95"/>
    </row>
    <row r="449" spans="5:5" x14ac:dyDescent="0.25">
      <c r="E449" s="95"/>
    </row>
    <row r="450" spans="5:5" x14ac:dyDescent="0.25">
      <c r="E450" s="95"/>
    </row>
    <row r="451" spans="5:5" x14ac:dyDescent="0.25">
      <c r="E451" s="95"/>
    </row>
    <row r="452" spans="5:5" x14ac:dyDescent="0.25">
      <c r="E452" s="95"/>
    </row>
    <row r="453" spans="5:5" x14ac:dyDescent="0.25">
      <c r="E453" s="95"/>
    </row>
    <row r="454" spans="5:5" x14ac:dyDescent="0.25">
      <c r="E454" s="95"/>
    </row>
    <row r="455" spans="5:5" x14ac:dyDescent="0.25">
      <c r="E455" s="95"/>
    </row>
    <row r="456" spans="5:5" x14ac:dyDescent="0.25">
      <c r="E456" s="95"/>
    </row>
    <row r="457" spans="5:5" x14ac:dyDescent="0.25">
      <c r="E457" s="96"/>
    </row>
    <row r="458" spans="5:5" x14ac:dyDescent="0.25">
      <c r="E458" s="96"/>
    </row>
    <row r="459" spans="5:5" x14ac:dyDescent="0.25">
      <c r="E459" s="96"/>
    </row>
    <row r="460" spans="5:5" x14ac:dyDescent="0.25">
      <c r="E460" s="96"/>
    </row>
    <row r="461" spans="5:5" x14ac:dyDescent="0.25">
      <c r="E461" s="96"/>
    </row>
    <row r="462" spans="5:5" x14ac:dyDescent="0.25">
      <c r="E462" s="96"/>
    </row>
    <row r="463" spans="5:5" x14ac:dyDescent="0.25">
      <c r="E463" s="96"/>
    </row>
    <row r="464" spans="5:5" x14ac:dyDescent="0.25">
      <c r="E464" s="96"/>
    </row>
    <row r="465" spans="5:5" x14ac:dyDescent="0.25">
      <c r="E465" s="96"/>
    </row>
    <row r="466" spans="5:5" x14ac:dyDescent="0.25">
      <c r="E466" s="96"/>
    </row>
    <row r="467" spans="5:5" x14ac:dyDescent="0.25">
      <c r="E467" s="96"/>
    </row>
    <row r="468" spans="5:5" x14ac:dyDescent="0.25">
      <c r="E468" s="96"/>
    </row>
    <row r="469" spans="5:5" x14ac:dyDescent="0.25">
      <c r="E469" s="96"/>
    </row>
    <row r="470" spans="5:5" x14ac:dyDescent="0.25">
      <c r="E470" s="96"/>
    </row>
    <row r="471" spans="5:5" x14ac:dyDescent="0.25">
      <c r="E471" s="96"/>
    </row>
    <row r="472" spans="5:5" x14ac:dyDescent="0.25">
      <c r="E472" s="96"/>
    </row>
    <row r="473" spans="5:5" x14ac:dyDescent="0.25">
      <c r="E473" s="96"/>
    </row>
    <row r="474" spans="5:5" x14ac:dyDescent="0.25">
      <c r="E474" s="96"/>
    </row>
    <row r="475" spans="5:5" x14ac:dyDescent="0.25">
      <c r="E475" s="96"/>
    </row>
    <row r="476" spans="5:5" x14ac:dyDescent="0.25">
      <c r="E476" s="96"/>
    </row>
    <row r="477" spans="5:5" x14ac:dyDescent="0.25">
      <c r="E477" s="96"/>
    </row>
    <row r="478" spans="5:5" x14ac:dyDescent="0.25">
      <c r="E478" s="96"/>
    </row>
    <row r="479" spans="5:5" x14ac:dyDescent="0.25">
      <c r="E479" s="96"/>
    </row>
    <row r="480" spans="5:5" x14ac:dyDescent="0.25">
      <c r="E480" s="96"/>
    </row>
    <row r="481" spans="5:5" x14ac:dyDescent="0.25">
      <c r="E481" s="96"/>
    </row>
    <row r="482" spans="5:5" x14ac:dyDescent="0.25">
      <c r="E482" s="96"/>
    </row>
    <row r="483" spans="5:5" x14ac:dyDescent="0.25">
      <c r="E483" s="96"/>
    </row>
    <row r="484" spans="5:5" x14ac:dyDescent="0.25">
      <c r="E484" s="96"/>
    </row>
    <row r="485" spans="5:5" x14ac:dyDescent="0.25">
      <c r="E485" s="96"/>
    </row>
    <row r="486" spans="5:5" x14ac:dyDescent="0.25">
      <c r="E486" s="96"/>
    </row>
    <row r="487" spans="5:5" x14ac:dyDescent="0.25">
      <c r="E487" s="96"/>
    </row>
    <row r="488" spans="5:5" x14ac:dyDescent="0.25">
      <c r="E488" s="96"/>
    </row>
    <row r="489" spans="5:5" x14ac:dyDescent="0.25">
      <c r="E489" s="96"/>
    </row>
    <row r="490" spans="5:5" x14ac:dyDescent="0.25">
      <c r="E490" s="96"/>
    </row>
    <row r="491" spans="5:5" x14ac:dyDescent="0.25">
      <c r="E491" s="96"/>
    </row>
    <row r="492" spans="5:5" x14ac:dyDescent="0.25">
      <c r="E492" s="96"/>
    </row>
    <row r="493" spans="5:5" x14ac:dyDescent="0.25">
      <c r="E493" s="96"/>
    </row>
    <row r="494" spans="5:5" x14ac:dyDescent="0.25">
      <c r="E494" s="96"/>
    </row>
    <row r="495" spans="5:5" x14ac:dyDescent="0.25">
      <c r="E495" s="96"/>
    </row>
    <row r="496" spans="5:5" x14ac:dyDescent="0.25">
      <c r="E496" s="96"/>
    </row>
    <row r="497" spans="5:5" x14ac:dyDescent="0.25">
      <c r="E497" s="96"/>
    </row>
    <row r="498" spans="5:5" x14ac:dyDescent="0.25">
      <c r="E498" s="96"/>
    </row>
    <row r="499" spans="5:5" x14ac:dyDescent="0.25">
      <c r="E499" s="96"/>
    </row>
    <row r="500" spans="5:5" x14ac:dyDescent="0.25">
      <c r="E500" s="96"/>
    </row>
    <row r="501" spans="5:5" x14ac:dyDescent="0.25">
      <c r="E501" s="96"/>
    </row>
    <row r="502" spans="5:5" x14ac:dyDescent="0.25">
      <c r="E502" s="96"/>
    </row>
    <row r="503" spans="5:5" x14ac:dyDescent="0.25">
      <c r="E503" s="96"/>
    </row>
    <row r="504" spans="5:5" x14ac:dyDescent="0.25">
      <c r="E504" s="96"/>
    </row>
    <row r="505" spans="5:5" x14ac:dyDescent="0.25">
      <c r="E505" s="96"/>
    </row>
    <row r="506" spans="5:5" x14ac:dyDescent="0.25">
      <c r="E506" s="96"/>
    </row>
    <row r="507" spans="5:5" x14ac:dyDescent="0.25">
      <c r="E507" s="96"/>
    </row>
    <row r="508" spans="5:5" x14ac:dyDescent="0.25">
      <c r="E508" s="96"/>
    </row>
    <row r="509" spans="5:5" x14ac:dyDescent="0.25">
      <c r="E509" s="96"/>
    </row>
    <row r="510" spans="5:5" x14ac:dyDescent="0.25">
      <c r="E510" s="96"/>
    </row>
    <row r="511" spans="5:5" x14ac:dyDescent="0.25">
      <c r="E511" s="96"/>
    </row>
    <row r="512" spans="5:5" x14ac:dyDescent="0.25">
      <c r="E512" s="96"/>
    </row>
    <row r="513" spans="5:5" x14ac:dyDescent="0.25">
      <c r="E513" s="96"/>
    </row>
    <row r="514" spans="5:5" x14ac:dyDescent="0.25">
      <c r="E514" s="96"/>
    </row>
    <row r="515" spans="5:5" x14ac:dyDescent="0.25">
      <c r="E515" s="96"/>
    </row>
    <row r="516" spans="5:5" x14ac:dyDescent="0.25">
      <c r="E516" s="96"/>
    </row>
    <row r="517" spans="5:5" x14ac:dyDescent="0.25">
      <c r="E517" s="96"/>
    </row>
    <row r="518" spans="5:5" x14ac:dyDescent="0.25">
      <c r="E518" s="96"/>
    </row>
    <row r="519" spans="5:5" x14ac:dyDescent="0.25">
      <c r="E519" s="96"/>
    </row>
    <row r="520" spans="5:5" x14ac:dyDescent="0.25">
      <c r="E520" s="96"/>
    </row>
    <row r="521" spans="5:5" x14ac:dyDescent="0.25">
      <c r="E521" s="96"/>
    </row>
    <row r="522" spans="5:5" x14ac:dyDescent="0.25">
      <c r="E522" s="96"/>
    </row>
    <row r="523" spans="5:5" x14ac:dyDescent="0.25">
      <c r="E523" s="96"/>
    </row>
    <row r="524" spans="5:5" x14ac:dyDescent="0.25">
      <c r="E524" s="96"/>
    </row>
    <row r="525" spans="5:5" x14ac:dyDescent="0.25">
      <c r="E525" s="96"/>
    </row>
    <row r="526" spans="5:5" x14ac:dyDescent="0.25">
      <c r="E526" s="96"/>
    </row>
    <row r="527" spans="5:5" x14ac:dyDescent="0.25">
      <c r="E527" s="96"/>
    </row>
    <row r="528" spans="5:5" x14ac:dyDescent="0.25">
      <c r="E528" s="96"/>
    </row>
    <row r="529" spans="5:5" x14ac:dyDescent="0.25">
      <c r="E529" s="96"/>
    </row>
    <row r="530" spans="5:5" x14ac:dyDescent="0.25">
      <c r="E530" s="96"/>
    </row>
    <row r="531" spans="5:5" x14ac:dyDescent="0.25">
      <c r="E531" s="96"/>
    </row>
    <row r="532" spans="5:5" x14ac:dyDescent="0.25">
      <c r="E532" s="96"/>
    </row>
    <row r="533" spans="5:5" x14ac:dyDescent="0.25">
      <c r="E533" s="96"/>
    </row>
    <row r="534" spans="5:5" x14ac:dyDescent="0.25">
      <c r="E534" s="96"/>
    </row>
    <row r="535" spans="5:5" x14ac:dyDescent="0.25">
      <c r="E535" s="96"/>
    </row>
    <row r="536" spans="5:5" x14ac:dyDescent="0.25">
      <c r="E536" s="96"/>
    </row>
    <row r="537" spans="5:5" x14ac:dyDescent="0.25">
      <c r="E537" s="96"/>
    </row>
    <row r="538" spans="5:5" x14ac:dyDescent="0.25">
      <c r="E538" s="96"/>
    </row>
    <row r="539" spans="5:5" x14ac:dyDescent="0.25">
      <c r="E539" s="96"/>
    </row>
    <row r="540" spans="5:5" x14ac:dyDescent="0.25">
      <c r="E540" s="96"/>
    </row>
    <row r="541" spans="5:5" x14ac:dyDescent="0.25">
      <c r="E541" s="96"/>
    </row>
    <row r="542" spans="5:5" x14ac:dyDescent="0.25">
      <c r="E542" s="96"/>
    </row>
    <row r="543" spans="5:5" x14ac:dyDescent="0.25">
      <c r="E543" s="96"/>
    </row>
    <row r="544" spans="5:5" x14ac:dyDescent="0.25">
      <c r="E544" s="96"/>
    </row>
    <row r="545" spans="5:5" x14ac:dyDescent="0.25">
      <c r="E545" s="96"/>
    </row>
    <row r="546" spans="5:5" x14ac:dyDescent="0.25">
      <c r="E546" s="96"/>
    </row>
    <row r="547" spans="5:5" x14ac:dyDescent="0.25">
      <c r="E547" s="96"/>
    </row>
    <row r="548" spans="5:5" x14ac:dyDescent="0.25">
      <c r="E548" s="96"/>
    </row>
    <row r="549" spans="5:5" x14ac:dyDescent="0.25">
      <c r="E549" s="96"/>
    </row>
    <row r="550" spans="5:5" x14ac:dyDescent="0.25">
      <c r="E550" s="96"/>
    </row>
    <row r="551" spans="5:5" x14ac:dyDescent="0.25">
      <c r="E551" s="96"/>
    </row>
    <row r="552" spans="5:5" x14ac:dyDescent="0.25">
      <c r="E552" s="96"/>
    </row>
    <row r="553" spans="5:5" x14ac:dyDescent="0.25">
      <c r="E553" s="96"/>
    </row>
    <row r="554" spans="5:5" x14ac:dyDescent="0.25">
      <c r="E554" s="96"/>
    </row>
    <row r="555" spans="5:5" x14ac:dyDescent="0.25">
      <c r="E555" s="96"/>
    </row>
    <row r="556" spans="5:5" x14ac:dyDescent="0.25">
      <c r="E556" s="96"/>
    </row>
    <row r="557" spans="5:5" x14ac:dyDescent="0.25">
      <c r="E557" s="96"/>
    </row>
    <row r="558" spans="5:5" x14ac:dyDescent="0.25">
      <c r="E558" s="96"/>
    </row>
    <row r="559" spans="5:5" x14ac:dyDescent="0.25">
      <c r="E559" s="96"/>
    </row>
    <row r="560" spans="5:5" x14ac:dyDescent="0.25">
      <c r="E560" s="96"/>
    </row>
    <row r="561" spans="5:5" x14ac:dyDescent="0.25">
      <c r="E561" s="96"/>
    </row>
    <row r="562" spans="5:5" x14ac:dyDescent="0.25">
      <c r="E562" s="96"/>
    </row>
    <row r="563" spans="5:5" x14ac:dyDescent="0.25">
      <c r="E563" s="96"/>
    </row>
    <row r="564" spans="5:5" x14ac:dyDescent="0.25">
      <c r="E564" s="96"/>
    </row>
    <row r="565" spans="5:5" x14ac:dyDescent="0.25">
      <c r="E565" s="96"/>
    </row>
    <row r="566" spans="5:5" x14ac:dyDescent="0.25">
      <c r="E566" s="96"/>
    </row>
    <row r="567" spans="5:5" x14ac:dyDescent="0.25">
      <c r="E567" s="96"/>
    </row>
    <row r="568" spans="5:5" x14ac:dyDescent="0.25">
      <c r="E568" s="96"/>
    </row>
    <row r="569" spans="5:5" x14ac:dyDescent="0.25">
      <c r="E569" s="96"/>
    </row>
    <row r="570" spans="5:5" x14ac:dyDescent="0.25">
      <c r="E570" s="96"/>
    </row>
    <row r="571" spans="5:5" x14ac:dyDescent="0.25">
      <c r="E571" s="96"/>
    </row>
    <row r="572" spans="5:5" x14ac:dyDescent="0.25">
      <c r="E572" s="96"/>
    </row>
    <row r="573" spans="5:5" x14ac:dyDescent="0.25">
      <c r="E573" s="96"/>
    </row>
    <row r="574" spans="5:5" x14ac:dyDescent="0.25">
      <c r="E574" s="96"/>
    </row>
    <row r="575" spans="5:5" x14ac:dyDescent="0.25">
      <c r="E575" s="96"/>
    </row>
    <row r="576" spans="5:5" x14ac:dyDescent="0.25">
      <c r="E576" s="96"/>
    </row>
    <row r="577" spans="5:5" x14ac:dyDescent="0.25">
      <c r="E577" s="96"/>
    </row>
    <row r="578" spans="5:5" x14ac:dyDescent="0.25">
      <c r="E578" s="96"/>
    </row>
    <row r="579" spans="5:5" x14ac:dyDescent="0.25">
      <c r="E579" s="96"/>
    </row>
    <row r="580" spans="5:5" x14ac:dyDescent="0.25">
      <c r="E580" s="96"/>
    </row>
    <row r="581" spans="5:5" x14ac:dyDescent="0.25">
      <c r="E581" s="96"/>
    </row>
    <row r="582" spans="5:5" x14ac:dyDescent="0.25">
      <c r="E582" s="96"/>
    </row>
    <row r="583" spans="5:5" x14ac:dyDescent="0.25">
      <c r="E583" s="96"/>
    </row>
    <row r="584" spans="5:5" x14ac:dyDescent="0.25">
      <c r="E584" s="96"/>
    </row>
    <row r="585" spans="5:5" x14ac:dyDescent="0.25">
      <c r="E585" s="96"/>
    </row>
    <row r="586" spans="5:5" x14ac:dyDescent="0.25">
      <c r="E586" s="96"/>
    </row>
    <row r="587" spans="5:5" x14ac:dyDescent="0.25">
      <c r="E587" s="96"/>
    </row>
    <row r="588" spans="5:5" x14ac:dyDescent="0.25">
      <c r="E588" s="96"/>
    </row>
    <row r="589" spans="5:5" x14ac:dyDescent="0.25">
      <c r="E589" s="96"/>
    </row>
    <row r="590" spans="5:5" x14ac:dyDescent="0.25">
      <c r="E590" s="96"/>
    </row>
    <row r="591" spans="5:5" x14ac:dyDescent="0.25">
      <c r="E591" s="96"/>
    </row>
    <row r="592" spans="5:5" x14ac:dyDescent="0.25">
      <c r="E592" s="96"/>
    </row>
    <row r="593" spans="5:5" x14ac:dyDescent="0.25">
      <c r="E593" s="96"/>
    </row>
    <row r="594" spans="5:5" x14ac:dyDescent="0.25">
      <c r="E594" s="96"/>
    </row>
    <row r="595" spans="5:5" x14ac:dyDescent="0.25">
      <c r="E595" s="96"/>
    </row>
    <row r="596" spans="5:5" x14ac:dyDescent="0.25">
      <c r="E596" s="96"/>
    </row>
    <row r="597" spans="5:5" x14ac:dyDescent="0.25">
      <c r="E597" s="96"/>
    </row>
    <row r="598" spans="5:5" x14ac:dyDescent="0.25">
      <c r="E598" s="96"/>
    </row>
    <row r="599" spans="5:5" x14ac:dyDescent="0.25">
      <c r="E599" s="96"/>
    </row>
    <row r="600" spans="5:5" x14ac:dyDescent="0.25">
      <c r="E600" s="95"/>
    </row>
    <row r="601" spans="5:5" x14ac:dyDescent="0.25">
      <c r="E601" s="96"/>
    </row>
    <row r="602" spans="5:5" x14ac:dyDescent="0.25">
      <c r="E602" s="96"/>
    </row>
    <row r="603" spans="5:5" x14ac:dyDescent="0.25">
      <c r="E603" s="96"/>
    </row>
    <row r="604" spans="5:5" x14ac:dyDescent="0.25">
      <c r="E604" s="95"/>
    </row>
    <row r="605" spans="5:5" x14ac:dyDescent="0.25">
      <c r="E605" s="96"/>
    </row>
    <row r="606" spans="5:5" x14ac:dyDescent="0.25">
      <c r="E606" s="96"/>
    </row>
    <row r="607" spans="5:5" x14ac:dyDescent="0.25">
      <c r="E607" s="96"/>
    </row>
    <row r="608" spans="5:5" x14ac:dyDescent="0.25">
      <c r="E608" s="95"/>
    </row>
    <row r="609" spans="5:5" x14ac:dyDescent="0.25">
      <c r="E609" s="96"/>
    </row>
    <row r="610" spans="5:5" x14ac:dyDescent="0.25">
      <c r="E610" s="96"/>
    </row>
    <row r="611" spans="5:5" x14ac:dyDescent="0.25">
      <c r="E611" s="96"/>
    </row>
    <row r="612" spans="5:5" x14ac:dyDescent="0.25">
      <c r="E612" s="95"/>
    </row>
    <row r="613" spans="5:5" x14ac:dyDescent="0.25">
      <c r="E613" s="96"/>
    </row>
    <row r="614" spans="5:5" x14ac:dyDescent="0.25">
      <c r="E614" s="96"/>
    </row>
    <row r="615" spans="5:5" x14ac:dyDescent="0.25">
      <c r="E615" s="96"/>
    </row>
    <row r="616" spans="5:5" x14ac:dyDescent="0.25">
      <c r="E616" s="95"/>
    </row>
    <row r="617" spans="5:5" x14ac:dyDescent="0.25">
      <c r="E617" s="96"/>
    </row>
    <row r="618" spans="5:5" x14ac:dyDescent="0.25">
      <c r="E618" s="96"/>
    </row>
    <row r="619" spans="5:5" x14ac:dyDescent="0.25">
      <c r="E619" s="96"/>
    </row>
    <row r="620" spans="5:5" x14ac:dyDescent="0.25">
      <c r="E620" s="95"/>
    </row>
    <row r="621" spans="5:5" x14ac:dyDescent="0.25">
      <c r="E621" s="96"/>
    </row>
    <row r="622" spans="5:5" x14ac:dyDescent="0.25">
      <c r="E622" s="96"/>
    </row>
    <row r="623" spans="5:5" x14ac:dyDescent="0.25">
      <c r="E623" s="96"/>
    </row>
    <row r="624" spans="5:5" x14ac:dyDescent="0.25">
      <c r="E624" s="95"/>
    </row>
    <row r="625" spans="5:5" x14ac:dyDescent="0.25">
      <c r="E625" s="96"/>
    </row>
    <row r="626" spans="5:5" x14ac:dyDescent="0.25">
      <c r="E626" s="96"/>
    </row>
    <row r="627" spans="5:5" x14ac:dyDescent="0.25">
      <c r="E627" s="96"/>
    </row>
    <row r="628" spans="5:5" x14ac:dyDescent="0.25">
      <c r="E628" s="95"/>
    </row>
    <row r="629" spans="5:5" x14ac:dyDescent="0.25">
      <c r="E629" s="96"/>
    </row>
    <row r="630" spans="5:5" x14ac:dyDescent="0.25">
      <c r="E630" s="96"/>
    </row>
    <row r="631" spans="5:5" x14ac:dyDescent="0.25">
      <c r="E631" s="96"/>
    </row>
    <row r="632" spans="5:5" x14ac:dyDescent="0.25">
      <c r="E632" s="95"/>
    </row>
    <row r="633" spans="5:5" x14ac:dyDescent="0.25">
      <c r="E633" s="96"/>
    </row>
    <row r="634" spans="5:5" x14ac:dyDescent="0.25">
      <c r="E634" s="96"/>
    </row>
    <row r="635" spans="5:5" x14ac:dyDescent="0.25">
      <c r="E635" s="96"/>
    </row>
    <row r="636" spans="5:5" x14ac:dyDescent="0.25">
      <c r="E636" s="95"/>
    </row>
    <row r="637" spans="5:5" x14ac:dyDescent="0.25">
      <c r="E637" s="96"/>
    </row>
    <row r="638" spans="5:5" x14ac:dyDescent="0.25">
      <c r="E638" s="96"/>
    </row>
    <row r="639" spans="5:5" x14ac:dyDescent="0.25">
      <c r="E639" s="96"/>
    </row>
    <row r="640" spans="5:5" x14ac:dyDescent="0.25">
      <c r="E640" s="95"/>
    </row>
    <row r="641" spans="5:5" x14ac:dyDescent="0.25">
      <c r="E641" s="96"/>
    </row>
    <row r="642" spans="5:5" x14ac:dyDescent="0.25">
      <c r="E642" s="96"/>
    </row>
    <row r="643" spans="5:5" x14ac:dyDescent="0.25">
      <c r="E643" s="96"/>
    </row>
    <row r="644" spans="5:5" x14ac:dyDescent="0.25">
      <c r="E644" s="95"/>
    </row>
    <row r="645" spans="5:5" x14ac:dyDescent="0.25">
      <c r="E645" s="96"/>
    </row>
    <row r="646" spans="5:5" x14ac:dyDescent="0.25">
      <c r="E646" s="96"/>
    </row>
    <row r="647" spans="5:5" x14ac:dyDescent="0.25">
      <c r="E647" s="96"/>
    </row>
    <row r="648" spans="5:5" x14ac:dyDescent="0.25">
      <c r="E648" s="95"/>
    </row>
    <row r="649" spans="5:5" x14ac:dyDescent="0.25">
      <c r="E649" s="96"/>
    </row>
    <row r="650" spans="5:5" x14ac:dyDescent="0.25">
      <c r="E650" s="96"/>
    </row>
    <row r="651" spans="5:5" x14ac:dyDescent="0.25">
      <c r="E651" s="96"/>
    </row>
    <row r="652" spans="5:5" x14ac:dyDescent="0.25">
      <c r="E652" s="95"/>
    </row>
    <row r="653" spans="5:5" x14ac:dyDescent="0.25">
      <c r="E653" s="96"/>
    </row>
    <row r="654" spans="5:5" x14ac:dyDescent="0.25">
      <c r="E654" s="96"/>
    </row>
    <row r="655" spans="5:5" x14ac:dyDescent="0.25">
      <c r="E655" s="96"/>
    </row>
    <row r="656" spans="5:5" x14ac:dyDescent="0.25">
      <c r="E656" s="95"/>
    </row>
    <row r="657" spans="5:5" x14ac:dyDescent="0.25">
      <c r="E657" s="96"/>
    </row>
    <row r="658" spans="5:5" x14ac:dyDescent="0.25">
      <c r="E658" s="96"/>
    </row>
    <row r="659" spans="5:5" x14ac:dyDescent="0.25">
      <c r="E659" s="96"/>
    </row>
    <row r="660" spans="5:5" x14ac:dyDescent="0.25">
      <c r="E660" s="95"/>
    </row>
    <row r="661" spans="5:5" x14ac:dyDescent="0.25">
      <c r="E661" s="96"/>
    </row>
    <row r="662" spans="5:5" x14ac:dyDescent="0.25">
      <c r="E662" s="96"/>
    </row>
    <row r="663" spans="5:5" x14ac:dyDescent="0.25">
      <c r="E663" s="96"/>
    </row>
    <row r="664" spans="5:5" x14ac:dyDescent="0.25">
      <c r="E664" s="95"/>
    </row>
    <row r="665" spans="5:5" x14ac:dyDescent="0.25">
      <c r="E665" s="96"/>
    </row>
    <row r="666" spans="5:5" x14ac:dyDescent="0.25">
      <c r="E666" s="96"/>
    </row>
    <row r="667" spans="5:5" x14ac:dyDescent="0.25">
      <c r="E667" s="96"/>
    </row>
    <row r="668" spans="5:5" x14ac:dyDescent="0.25">
      <c r="E668" s="95"/>
    </row>
    <row r="669" spans="5:5" x14ac:dyDescent="0.25">
      <c r="E669" s="96"/>
    </row>
    <row r="670" spans="5:5" x14ac:dyDescent="0.25">
      <c r="E670" s="96"/>
    </row>
    <row r="671" spans="5:5" x14ac:dyDescent="0.25">
      <c r="E671" s="96"/>
    </row>
    <row r="672" spans="5:5" x14ac:dyDescent="0.25">
      <c r="E672" s="95"/>
    </row>
    <row r="673" spans="5:5" x14ac:dyDescent="0.25">
      <c r="E673" s="96"/>
    </row>
    <row r="674" spans="5:5" x14ac:dyDescent="0.25">
      <c r="E674" s="96"/>
    </row>
    <row r="675" spans="5:5" x14ac:dyDescent="0.25">
      <c r="E675" s="96"/>
    </row>
    <row r="676" spans="5:5" x14ac:dyDescent="0.25">
      <c r="E676" s="95"/>
    </row>
    <row r="677" spans="5:5" x14ac:dyDescent="0.25">
      <c r="E677" s="96"/>
    </row>
    <row r="678" spans="5:5" x14ac:dyDescent="0.25">
      <c r="E678" s="96"/>
    </row>
    <row r="679" spans="5:5" x14ac:dyDescent="0.25">
      <c r="E679" s="96"/>
    </row>
    <row r="680" spans="5:5" x14ac:dyDescent="0.25">
      <c r="E680" s="95"/>
    </row>
    <row r="681" spans="5:5" x14ac:dyDescent="0.25">
      <c r="E681" s="96"/>
    </row>
    <row r="682" spans="5:5" x14ac:dyDescent="0.25">
      <c r="E682" s="96"/>
    </row>
    <row r="683" spans="5:5" x14ac:dyDescent="0.25">
      <c r="E683" s="96"/>
    </row>
    <row r="684" spans="5:5" x14ac:dyDescent="0.25">
      <c r="E684" s="95"/>
    </row>
    <row r="685" spans="5:5" x14ac:dyDescent="0.25">
      <c r="E685" s="96"/>
    </row>
    <row r="686" spans="5:5" x14ac:dyDescent="0.25">
      <c r="E686" s="96"/>
    </row>
    <row r="687" spans="5:5" x14ac:dyDescent="0.25">
      <c r="E687" s="96"/>
    </row>
    <row r="688" spans="5:5" x14ac:dyDescent="0.25">
      <c r="E688" s="95"/>
    </row>
    <row r="689" spans="5:5" x14ac:dyDescent="0.25">
      <c r="E689" s="96"/>
    </row>
    <row r="690" spans="5:5" x14ac:dyDescent="0.25">
      <c r="E690" s="96"/>
    </row>
    <row r="691" spans="5:5" x14ac:dyDescent="0.25">
      <c r="E691" s="96"/>
    </row>
    <row r="692" spans="5:5" x14ac:dyDescent="0.25">
      <c r="E692" s="95"/>
    </row>
    <row r="693" spans="5:5" x14ac:dyDescent="0.25">
      <c r="E693" s="96"/>
    </row>
    <row r="694" spans="5:5" x14ac:dyDescent="0.25">
      <c r="E694" s="96"/>
    </row>
    <row r="695" spans="5:5" x14ac:dyDescent="0.25">
      <c r="E695" s="96"/>
    </row>
    <row r="696" spans="5:5" x14ac:dyDescent="0.25">
      <c r="E696" s="95"/>
    </row>
    <row r="697" spans="5:5" x14ac:dyDescent="0.25">
      <c r="E697" s="96"/>
    </row>
    <row r="698" spans="5:5" x14ac:dyDescent="0.25">
      <c r="E698" s="96"/>
    </row>
    <row r="699" spans="5:5" x14ac:dyDescent="0.25">
      <c r="E699" s="96"/>
    </row>
    <row r="700" spans="5:5" x14ac:dyDescent="0.25">
      <c r="E700" s="95"/>
    </row>
    <row r="701" spans="5:5" x14ac:dyDescent="0.25">
      <c r="E701" s="96"/>
    </row>
    <row r="702" spans="5:5" x14ac:dyDescent="0.25">
      <c r="E702" s="96"/>
    </row>
    <row r="703" spans="5:5" x14ac:dyDescent="0.25">
      <c r="E703" s="96"/>
    </row>
    <row r="704" spans="5:5" x14ac:dyDescent="0.25">
      <c r="E704" s="95"/>
    </row>
    <row r="705" spans="5:5" x14ac:dyDescent="0.25">
      <c r="E705" s="96"/>
    </row>
    <row r="706" spans="5:5" x14ac:dyDescent="0.25">
      <c r="E706" s="96"/>
    </row>
    <row r="707" spans="5:5" x14ac:dyDescent="0.25">
      <c r="E707" s="96"/>
    </row>
    <row r="708" spans="5:5" x14ac:dyDescent="0.25">
      <c r="E708" s="95"/>
    </row>
    <row r="709" spans="5:5" x14ac:dyDescent="0.25">
      <c r="E709" s="96"/>
    </row>
    <row r="710" spans="5:5" x14ac:dyDescent="0.25">
      <c r="E710" s="96"/>
    </row>
    <row r="711" spans="5:5" x14ac:dyDescent="0.25">
      <c r="E711" s="96"/>
    </row>
    <row r="712" spans="5:5" x14ac:dyDescent="0.25">
      <c r="E712" s="95"/>
    </row>
    <row r="713" spans="5:5" x14ac:dyDescent="0.25">
      <c r="E713" s="96"/>
    </row>
    <row r="714" spans="5:5" x14ac:dyDescent="0.25">
      <c r="E714" s="96"/>
    </row>
    <row r="715" spans="5:5" x14ac:dyDescent="0.25">
      <c r="E715" s="96"/>
    </row>
    <row r="716" spans="5:5" x14ac:dyDescent="0.25">
      <c r="E716" s="95"/>
    </row>
    <row r="717" spans="5:5" x14ac:dyDescent="0.25">
      <c r="E717" s="96"/>
    </row>
    <row r="718" spans="5:5" x14ac:dyDescent="0.25">
      <c r="E718" s="96"/>
    </row>
    <row r="719" spans="5:5" x14ac:dyDescent="0.25">
      <c r="E719" s="96"/>
    </row>
    <row r="720" spans="5:5" x14ac:dyDescent="0.25">
      <c r="E720" s="95"/>
    </row>
    <row r="721" spans="5:5" x14ac:dyDescent="0.25">
      <c r="E721" s="96"/>
    </row>
    <row r="722" spans="5:5" x14ac:dyDescent="0.25">
      <c r="E722" s="96"/>
    </row>
    <row r="723" spans="5:5" x14ac:dyDescent="0.25">
      <c r="E723" s="96"/>
    </row>
    <row r="724" spans="5:5" x14ac:dyDescent="0.25">
      <c r="E724" s="95"/>
    </row>
    <row r="725" spans="5:5" x14ac:dyDescent="0.25">
      <c r="E725" s="96"/>
    </row>
    <row r="726" spans="5:5" x14ac:dyDescent="0.25">
      <c r="E726" s="96"/>
    </row>
    <row r="727" spans="5:5" x14ac:dyDescent="0.25">
      <c r="E727" s="96"/>
    </row>
    <row r="728" spans="5:5" x14ac:dyDescent="0.25">
      <c r="E728" s="95"/>
    </row>
    <row r="729" spans="5:5" x14ac:dyDescent="0.25">
      <c r="E729" s="96"/>
    </row>
    <row r="730" spans="5:5" x14ac:dyDescent="0.25">
      <c r="E730" s="96"/>
    </row>
    <row r="731" spans="5:5" x14ac:dyDescent="0.25">
      <c r="E731" s="96"/>
    </row>
    <row r="732" spans="5:5" x14ac:dyDescent="0.25">
      <c r="E732" s="95"/>
    </row>
    <row r="733" spans="5:5" x14ac:dyDescent="0.25">
      <c r="E733" s="96"/>
    </row>
    <row r="734" spans="5:5" x14ac:dyDescent="0.25">
      <c r="E734" s="96"/>
    </row>
    <row r="735" spans="5:5" x14ac:dyDescent="0.25">
      <c r="E735" s="96"/>
    </row>
    <row r="736" spans="5:5" x14ac:dyDescent="0.25">
      <c r="E736" s="95"/>
    </row>
    <row r="737" spans="5:5" x14ac:dyDescent="0.25">
      <c r="E737" s="96"/>
    </row>
    <row r="738" spans="5:5" x14ac:dyDescent="0.25">
      <c r="E738" s="96"/>
    </row>
    <row r="739" spans="5:5" x14ac:dyDescent="0.25">
      <c r="E739" s="96"/>
    </row>
    <row r="740" spans="5:5" x14ac:dyDescent="0.25">
      <c r="E740" s="95"/>
    </row>
    <row r="741" spans="5:5" x14ac:dyDescent="0.25">
      <c r="E741" s="96"/>
    </row>
    <row r="742" spans="5:5" x14ac:dyDescent="0.25">
      <c r="E742" s="96"/>
    </row>
    <row r="743" spans="5:5" x14ac:dyDescent="0.25">
      <c r="E743" s="96"/>
    </row>
    <row r="744" spans="5:5" x14ac:dyDescent="0.25">
      <c r="E744" s="95"/>
    </row>
    <row r="745" spans="5:5" x14ac:dyDescent="0.25">
      <c r="E745" s="96"/>
    </row>
    <row r="746" spans="5:5" x14ac:dyDescent="0.25">
      <c r="E746" s="96"/>
    </row>
    <row r="747" spans="5:5" x14ac:dyDescent="0.25">
      <c r="E747" s="96"/>
    </row>
    <row r="748" spans="5:5" x14ac:dyDescent="0.25">
      <c r="E748" s="95"/>
    </row>
    <row r="749" spans="5:5" x14ac:dyDescent="0.25">
      <c r="E749" s="96"/>
    </row>
    <row r="750" spans="5:5" x14ac:dyDescent="0.25">
      <c r="E750" s="96"/>
    </row>
    <row r="751" spans="5:5" x14ac:dyDescent="0.25">
      <c r="E751" s="96"/>
    </row>
    <row r="752" spans="5:5" x14ac:dyDescent="0.25">
      <c r="E752" s="95"/>
    </row>
    <row r="753" spans="5:5" x14ac:dyDescent="0.25">
      <c r="E753" s="96"/>
    </row>
    <row r="754" spans="5:5" x14ac:dyDescent="0.25">
      <c r="E754" s="96"/>
    </row>
    <row r="755" spans="5:5" x14ac:dyDescent="0.25">
      <c r="E755" s="96"/>
    </row>
    <row r="756" spans="5:5" x14ac:dyDescent="0.25">
      <c r="E756" s="95"/>
    </row>
    <row r="757" spans="5:5" x14ac:dyDescent="0.25">
      <c r="E757" s="96"/>
    </row>
    <row r="758" spans="5:5" x14ac:dyDescent="0.25">
      <c r="E758" s="96"/>
    </row>
    <row r="759" spans="5:5" x14ac:dyDescent="0.25">
      <c r="E759" s="96"/>
    </row>
    <row r="760" spans="5:5" x14ac:dyDescent="0.25">
      <c r="E760" s="95"/>
    </row>
    <row r="761" spans="5:5" x14ac:dyDescent="0.25">
      <c r="E761" s="96"/>
    </row>
    <row r="762" spans="5:5" x14ac:dyDescent="0.25">
      <c r="E762" s="96"/>
    </row>
    <row r="763" spans="5:5" x14ac:dyDescent="0.25">
      <c r="E763" s="96"/>
    </row>
    <row r="764" spans="5:5" x14ac:dyDescent="0.25">
      <c r="E764" s="95"/>
    </row>
    <row r="765" spans="5:5" x14ac:dyDescent="0.25">
      <c r="E765" s="96"/>
    </row>
    <row r="766" spans="5:5" x14ac:dyDescent="0.25">
      <c r="E766" s="96"/>
    </row>
    <row r="767" spans="5:5" x14ac:dyDescent="0.25">
      <c r="E767" s="96"/>
    </row>
    <row r="768" spans="5:5" x14ac:dyDescent="0.25">
      <c r="E768" s="95"/>
    </row>
    <row r="769" spans="5:5" x14ac:dyDescent="0.25">
      <c r="E769" s="96"/>
    </row>
    <row r="770" spans="5:5" x14ac:dyDescent="0.25">
      <c r="E770" s="96"/>
    </row>
    <row r="771" spans="5:5" x14ac:dyDescent="0.25">
      <c r="E771" s="96"/>
    </row>
    <row r="772" spans="5:5" x14ac:dyDescent="0.25">
      <c r="E772" s="95"/>
    </row>
    <row r="773" spans="5:5" x14ac:dyDescent="0.25">
      <c r="E773" s="96"/>
    </row>
    <row r="774" spans="5:5" x14ac:dyDescent="0.25">
      <c r="E774" s="96"/>
    </row>
    <row r="775" spans="5:5" x14ac:dyDescent="0.25">
      <c r="E775" s="96"/>
    </row>
    <row r="776" spans="5:5" x14ac:dyDescent="0.25">
      <c r="E776" s="95"/>
    </row>
    <row r="777" spans="5:5" x14ac:dyDescent="0.25">
      <c r="E777" s="96"/>
    </row>
    <row r="778" spans="5:5" x14ac:dyDescent="0.25">
      <c r="E778" s="96"/>
    </row>
    <row r="779" spans="5:5" x14ac:dyDescent="0.25">
      <c r="E779" s="96"/>
    </row>
    <row r="780" spans="5:5" x14ac:dyDescent="0.25">
      <c r="E780" s="95"/>
    </row>
    <row r="781" spans="5:5" x14ac:dyDescent="0.25">
      <c r="E781" s="96"/>
    </row>
    <row r="782" spans="5:5" x14ac:dyDescent="0.25">
      <c r="E782" s="96"/>
    </row>
    <row r="783" spans="5:5" x14ac:dyDescent="0.25">
      <c r="E783" s="96"/>
    </row>
    <row r="784" spans="5:5" x14ac:dyDescent="0.25">
      <c r="E784" s="95"/>
    </row>
    <row r="785" spans="5:5" x14ac:dyDescent="0.25">
      <c r="E785" s="96"/>
    </row>
    <row r="786" spans="5:5" x14ac:dyDescent="0.25">
      <c r="E786" s="96"/>
    </row>
    <row r="787" spans="5:5" x14ac:dyDescent="0.25">
      <c r="E787" s="96"/>
    </row>
    <row r="788" spans="5:5" x14ac:dyDescent="0.25">
      <c r="E788" s="95"/>
    </row>
    <row r="789" spans="5:5" x14ac:dyDescent="0.25">
      <c r="E789" s="96"/>
    </row>
    <row r="790" spans="5:5" x14ac:dyDescent="0.25">
      <c r="E790" s="96"/>
    </row>
    <row r="791" spans="5:5" x14ac:dyDescent="0.25">
      <c r="E791" s="96"/>
    </row>
    <row r="792" spans="5:5" x14ac:dyDescent="0.25">
      <c r="E792" s="95"/>
    </row>
    <row r="793" spans="5:5" x14ac:dyDescent="0.25">
      <c r="E793" s="96"/>
    </row>
    <row r="794" spans="5:5" x14ac:dyDescent="0.25">
      <c r="E794" s="96"/>
    </row>
    <row r="795" spans="5:5" x14ac:dyDescent="0.25">
      <c r="E795" s="96"/>
    </row>
    <row r="796" spans="5:5" x14ac:dyDescent="0.25">
      <c r="E796" s="95"/>
    </row>
    <row r="797" spans="5:5" x14ac:dyDescent="0.25">
      <c r="E797" s="96"/>
    </row>
    <row r="798" spans="5:5" x14ac:dyDescent="0.25">
      <c r="E798" s="96"/>
    </row>
    <row r="799" spans="5:5" x14ac:dyDescent="0.25">
      <c r="E799" s="96"/>
    </row>
    <row r="800" spans="5:5" x14ac:dyDescent="0.25">
      <c r="E800" s="95"/>
    </row>
    <row r="801" spans="5:5" x14ac:dyDescent="0.25">
      <c r="E801" s="96"/>
    </row>
    <row r="802" spans="5:5" x14ac:dyDescent="0.25">
      <c r="E802" s="96"/>
    </row>
    <row r="803" spans="5:5" x14ac:dyDescent="0.25">
      <c r="E803" s="96"/>
    </row>
    <row r="804" spans="5:5" x14ac:dyDescent="0.25">
      <c r="E804" s="95"/>
    </row>
    <row r="805" spans="5:5" x14ac:dyDescent="0.25">
      <c r="E805" s="96"/>
    </row>
    <row r="806" spans="5:5" x14ac:dyDescent="0.25">
      <c r="E806" s="96"/>
    </row>
    <row r="807" spans="5:5" x14ac:dyDescent="0.25">
      <c r="E807" s="96"/>
    </row>
    <row r="808" spans="5:5" x14ac:dyDescent="0.25">
      <c r="E808" s="95"/>
    </row>
    <row r="809" spans="5:5" x14ac:dyDescent="0.25">
      <c r="E809" s="96"/>
    </row>
    <row r="810" spans="5:5" x14ac:dyDescent="0.25">
      <c r="E810" s="96"/>
    </row>
    <row r="811" spans="5:5" x14ac:dyDescent="0.25">
      <c r="E811" s="96"/>
    </row>
    <row r="812" spans="5:5" x14ac:dyDescent="0.25">
      <c r="E812" s="95"/>
    </row>
    <row r="813" spans="5:5" x14ac:dyDescent="0.25">
      <c r="E813" s="96"/>
    </row>
    <row r="814" spans="5:5" x14ac:dyDescent="0.25">
      <c r="E814" s="96"/>
    </row>
    <row r="815" spans="5:5" x14ac:dyDescent="0.25">
      <c r="E815" s="96"/>
    </row>
    <row r="816" spans="5:5" x14ac:dyDescent="0.25">
      <c r="E816" s="95"/>
    </row>
    <row r="817" spans="5:5" x14ac:dyDescent="0.25">
      <c r="E817" s="96"/>
    </row>
    <row r="818" spans="5:5" x14ac:dyDescent="0.25">
      <c r="E818" s="96"/>
    </row>
    <row r="819" spans="5:5" x14ac:dyDescent="0.25">
      <c r="E819" s="96"/>
    </row>
    <row r="820" spans="5:5" x14ac:dyDescent="0.25">
      <c r="E820" s="95"/>
    </row>
    <row r="821" spans="5:5" x14ac:dyDescent="0.25">
      <c r="E821" s="96"/>
    </row>
    <row r="822" spans="5:5" x14ac:dyDescent="0.25">
      <c r="E822" s="96"/>
    </row>
    <row r="823" spans="5:5" x14ac:dyDescent="0.25">
      <c r="E823" s="96"/>
    </row>
    <row r="824" spans="5:5" x14ac:dyDescent="0.25">
      <c r="E824" s="95"/>
    </row>
    <row r="825" spans="5:5" x14ac:dyDescent="0.25">
      <c r="E825" s="96"/>
    </row>
    <row r="826" spans="5:5" x14ac:dyDescent="0.25">
      <c r="E826" s="96"/>
    </row>
    <row r="827" spans="5:5" x14ac:dyDescent="0.25">
      <c r="E827" s="96"/>
    </row>
    <row r="828" spans="5:5" x14ac:dyDescent="0.25">
      <c r="E828" s="95"/>
    </row>
    <row r="829" spans="5:5" x14ac:dyDescent="0.25">
      <c r="E829" s="96"/>
    </row>
    <row r="830" spans="5:5" x14ac:dyDescent="0.25">
      <c r="E830" s="96"/>
    </row>
    <row r="831" spans="5:5" x14ac:dyDescent="0.25">
      <c r="E831" s="96"/>
    </row>
    <row r="832" spans="5:5" x14ac:dyDescent="0.25">
      <c r="E832" s="95"/>
    </row>
    <row r="833" spans="5:5" x14ac:dyDescent="0.25">
      <c r="E833" s="96"/>
    </row>
    <row r="834" spans="5:5" x14ac:dyDescent="0.25">
      <c r="E834" s="96"/>
    </row>
    <row r="835" spans="5:5" x14ac:dyDescent="0.25">
      <c r="E835" s="96"/>
    </row>
    <row r="836" spans="5:5" x14ac:dyDescent="0.25">
      <c r="E836" s="95"/>
    </row>
    <row r="837" spans="5:5" x14ac:dyDescent="0.25">
      <c r="E837" s="96"/>
    </row>
    <row r="838" spans="5:5" x14ac:dyDescent="0.25">
      <c r="E838" s="96"/>
    </row>
    <row r="839" spans="5:5" x14ac:dyDescent="0.25">
      <c r="E839" s="96"/>
    </row>
    <row r="840" spans="5:5" x14ac:dyDescent="0.25">
      <c r="E840" s="95"/>
    </row>
    <row r="841" spans="5:5" x14ac:dyDescent="0.25">
      <c r="E841" s="96"/>
    </row>
    <row r="842" spans="5:5" x14ac:dyDescent="0.25">
      <c r="E842" s="96"/>
    </row>
    <row r="843" spans="5:5" x14ac:dyDescent="0.25">
      <c r="E843" s="96"/>
    </row>
    <row r="844" spans="5:5" x14ac:dyDescent="0.25">
      <c r="E844" s="95"/>
    </row>
    <row r="845" spans="5:5" x14ac:dyDescent="0.25">
      <c r="E845" s="96"/>
    </row>
    <row r="846" spans="5:5" x14ac:dyDescent="0.25">
      <c r="E846" s="96"/>
    </row>
    <row r="847" spans="5:5" x14ac:dyDescent="0.25">
      <c r="E847" s="96"/>
    </row>
    <row r="848" spans="5:5" x14ac:dyDescent="0.25">
      <c r="E848" s="95"/>
    </row>
    <row r="849" spans="5:5" x14ac:dyDescent="0.25">
      <c r="E849" s="96"/>
    </row>
    <row r="850" spans="5:5" x14ac:dyDescent="0.25">
      <c r="E850" s="96"/>
    </row>
    <row r="851" spans="5:5" x14ac:dyDescent="0.25">
      <c r="E851" s="96"/>
    </row>
    <row r="852" spans="5:5" x14ac:dyDescent="0.25">
      <c r="E852" s="95"/>
    </row>
    <row r="853" spans="5:5" x14ac:dyDescent="0.25">
      <c r="E853" s="96"/>
    </row>
    <row r="854" spans="5:5" x14ac:dyDescent="0.25">
      <c r="E854" s="96"/>
    </row>
    <row r="855" spans="5:5" x14ac:dyDescent="0.25">
      <c r="E855" s="96"/>
    </row>
    <row r="856" spans="5:5" x14ac:dyDescent="0.25">
      <c r="E856" s="95"/>
    </row>
    <row r="857" spans="5:5" x14ac:dyDescent="0.25">
      <c r="E857" s="96"/>
    </row>
    <row r="858" spans="5:5" x14ac:dyDescent="0.25">
      <c r="E858" s="96"/>
    </row>
    <row r="859" spans="5:5" x14ac:dyDescent="0.25">
      <c r="E859" s="96"/>
    </row>
    <row r="860" spans="5:5" x14ac:dyDescent="0.25">
      <c r="E860" s="95"/>
    </row>
    <row r="861" spans="5:5" x14ac:dyDescent="0.25">
      <c r="E861" s="96"/>
    </row>
    <row r="862" spans="5:5" x14ac:dyDescent="0.25">
      <c r="E862" s="96"/>
    </row>
    <row r="863" spans="5:5" x14ac:dyDescent="0.25">
      <c r="E863" s="96"/>
    </row>
    <row r="864" spans="5:5" x14ac:dyDescent="0.25">
      <c r="E864" s="95"/>
    </row>
    <row r="865" spans="5:5" x14ac:dyDescent="0.25">
      <c r="E865" s="96"/>
    </row>
    <row r="866" spans="5:5" x14ac:dyDescent="0.25">
      <c r="E866" s="96"/>
    </row>
    <row r="867" spans="5:5" x14ac:dyDescent="0.25">
      <c r="E867" s="96"/>
    </row>
    <row r="868" spans="5:5" x14ac:dyDescent="0.25">
      <c r="E868" s="95"/>
    </row>
    <row r="869" spans="5:5" x14ac:dyDescent="0.25">
      <c r="E869" s="96"/>
    </row>
    <row r="870" spans="5:5" x14ac:dyDescent="0.25">
      <c r="E870" s="96"/>
    </row>
    <row r="871" spans="5:5" x14ac:dyDescent="0.25">
      <c r="E871" s="96"/>
    </row>
    <row r="872" spans="5:5" x14ac:dyDescent="0.25">
      <c r="E872" s="95"/>
    </row>
    <row r="873" spans="5:5" x14ac:dyDescent="0.25">
      <c r="E873" s="96"/>
    </row>
    <row r="874" spans="5:5" x14ac:dyDescent="0.25">
      <c r="E874" s="96"/>
    </row>
    <row r="875" spans="5:5" x14ac:dyDescent="0.25">
      <c r="E875" s="96"/>
    </row>
    <row r="876" spans="5:5" x14ac:dyDescent="0.25">
      <c r="E876" s="95"/>
    </row>
    <row r="877" spans="5:5" x14ac:dyDescent="0.25">
      <c r="E877" s="96"/>
    </row>
    <row r="878" spans="5:5" x14ac:dyDescent="0.25">
      <c r="E878" s="96"/>
    </row>
    <row r="879" spans="5:5" x14ac:dyDescent="0.25">
      <c r="E879" s="96"/>
    </row>
    <row r="880" spans="5:5" x14ac:dyDescent="0.25">
      <c r="E880" s="95"/>
    </row>
    <row r="881" spans="5:5" x14ac:dyDescent="0.25">
      <c r="E881" s="96"/>
    </row>
    <row r="882" spans="5:5" x14ac:dyDescent="0.25">
      <c r="E882" s="96"/>
    </row>
    <row r="883" spans="5:5" x14ac:dyDescent="0.25">
      <c r="E883" s="96"/>
    </row>
    <row r="884" spans="5:5" x14ac:dyDescent="0.25">
      <c r="E884" s="95"/>
    </row>
    <row r="885" spans="5:5" x14ac:dyDescent="0.25">
      <c r="E885" s="96"/>
    </row>
    <row r="886" spans="5:5" x14ac:dyDescent="0.25">
      <c r="E886" s="96"/>
    </row>
    <row r="887" spans="5:5" x14ac:dyDescent="0.25">
      <c r="E887" s="96"/>
    </row>
    <row r="888" spans="5:5" x14ac:dyDescent="0.25">
      <c r="E888" s="95"/>
    </row>
    <row r="889" spans="5:5" x14ac:dyDescent="0.25">
      <c r="E889" s="96"/>
    </row>
    <row r="890" spans="5:5" x14ac:dyDescent="0.25">
      <c r="E890" s="96"/>
    </row>
    <row r="891" spans="5:5" x14ac:dyDescent="0.25">
      <c r="E891" s="96"/>
    </row>
    <row r="892" spans="5:5" x14ac:dyDescent="0.25">
      <c r="E892" s="95"/>
    </row>
    <row r="893" spans="5:5" x14ac:dyDescent="0.25">
      <c r="E893" s="96"/>
    </row>
    <row r="894" spans="5:5" x14ac:dyDescent="0.25">
      <c r="E894" s="96"/>
    </row>
    <row r="895" spans="5:5" x14ac:dyDescent="0.25">
      <c r="E895" s="96"/>
    </row>
    <row r="896" spans="5:5" x14ac:dyDescent="0.25">
      <c r="E896" s="95"/>
    </row>
    <row r="897" spans="5:5" x14ac:dyDescent="0.25">
      <c r="E897" s="96"/>
    </row>
    <row r="898" spans="5:5" x14ac:dyDescent="0.25">
      <c r="E898" s="96"/>
    </row>
    <row r="899" spans="5:5" x14ac:dyDescent="0.25">
      <c r="E899" s="96"/>
    </row>
    <row r="900" spans="5:5" x14ac:dyDescent="0.25">
      <c r="E900" s="95"/>
    </row>
    <row r="901" spans="5:5" x14ac:dyDescent="0.25">
      <c r="E901" s="96"/>
    </row>
    <row r="902" spans="5:5" x14ac:dyDescent="0.25">
      <c r="E902" s="96"/>
    </row>
    <row r="903" spans="5:5" x14ac:dyDescent="0.25">
      <c r="E903" s="96"/>
    </row>
    <row r="904" spans="5:5" x14ac:dyDescent="0.25">
      <c r="E904" s="95"/>
    </row>
    <row r="905" spans="5:5" x14ac:dyDescent="0.25">
      <c r="E905" s="96"/>
    </row>
    <row r="906" spans="5:5" x14ac:dyDescent="0.25">
      <c r="E906" s="96"/>
    </row>
    <row r="907" spans="5:5" x14ac:dyDescent="0.25">
      <c r="E907" s="96"/>
    </row>
    <row r="908" spans="5:5" x14ac:dyDescent="0.25">
      <c r="E908" s="95"/>
    </row>
    <row r="909" spans="5:5" x14ac:dyDescent="0.25">
      <c r="E909" s="96"/>
    </row>
    <row r="910" spans="5:5" x14ac:dyDescent="0.25">
      <c r="E910" s="96"/>
    </row>
    <row r="911" spans="5:5" x14ac:dyDescent="0.25">
      <c r="E911" s="96"/>
    </row>
    <row r="912" spans="5:5" x14ac:dyDescent="0.25">
      <c r="E912" s="95"/>
    </row>
    <row r="913" spans="5:5" x14ac:dyDescent="0.25">
      <c r="E913" s="96"/>
    </row>
    <row r="914" spans="5:5" x14ac:dyDescent="0.25">
      <c r="E914" s="96"/>
    </row>
    <row r="915" spans="5:5" x14ac:dyDescent="0.25">
      <c r="E915" s="96"/>
    </row>
    <row r="916" spans="5:5" x14ac:dyDescent="0.25">
      <c r="E916" s="95"/>
    </row>
    <row r="917" spans="5:5" x14ac:dyDescent="0.25">
      <c r="E917" s="96"/>
    </row>
    <row r="918" spans="5:5" x14ac:dyDescent="0.25">
      <c r="E918" s="96"/>
    </row>
    <row r="919" spans="5:5" x14ac:dyDescent="0.25">
      <c r="E919" s="96"/>
    </row>
    <row r="920" spans="5:5" x14ac:dyDescent="0.25">
      <c r="E920" s="95"/>
    </row>
    <row r="921" spans="5:5" x14ac:dyDescent="0.25">
      <c r="E921" s="96"/>
    </row>
    <row r="922" spans="5:5" x14ac:dyDescent="0.25">
      <c r="E922" s="96"/>
    </row>
    <row r="923" spans="5:5" x14ac:dyDescent="0.25">
      <c r="E923" s="96"/>
    </row>
    <row r="924" spans="5:5" x14ac:dyDescent="0.25">
      <c r="E924" s="95"/>
    </row>
    <row r="925" spans="5:5" x14ac:dyDescent="0.25">
      <c r="E925" s="96"/>
    </row>
    <row r="926" spans="5:5" x14ac:dyDescent="0.25">
      <c r="E926" s="96"/>
    </row>
    <row r="927" spans="5:5" x14ac:dyDescent="0.25">
      <c r="E927" s="96"/>
    </row>
    <row r="928" spans="5:5" x14ac:dyDescent="0.25">
      <c r="E928" s="95"/>
    </row>
    <row r="929" spans="5:5" x14ac:dyDescent="0.25">
      <c r="E929" s="96"/>
    </row>
    <row r="930" spans="5:5" x14ac:dyDescent="0.25">
      <c r="E930" s="96"/>
    </row>
    <row r="931" spans="5:5" x14ac:dyDescent="0.25">
      <c r="E931" s="96"/>
    </row>
    <row r="932" spans="5:5" x14ac:dyDescent="0.25">
      <c r="E932" s="95"/>
    </row>
    <row r="933" spans="5:5" x14ac:dyDescent="0.25">
      <c r="E933" s="96"/>
    </row>
    <row r="934" spans="5:5" x14ac:dyDescent="0.25">
      <c r="E934" s="96"/>
    </row>
    <row r="935" spans="5:5" x14ac:dyDescent="0.25">
      <c r="E935" s="96"/>
    </row>
    <row r="936" spans="5:5" x14ac:dyDescent="0.25">
      <c r="E936" s="95"/>
    </row>
    <row r="937" spans="5:5" x14ac:dyDescent="0.25">
      <c r="E937" s="96"/>
    </row>
    <row r="938" spans="5:5" x14ac:dyDescent="0.25">
      <c r="E938" s="96"/>
    </row>
    <row r="939" spans="5:5" x14ac:dyDescent="0.25">
      <c r="E939" s="96"/>
    </row>
    <row r="940" spans="5:5" x14ac:dyDescent="0.25">
      <c r="E940" s="95"/>
    </row>
    <row r="941" spans="5:5" x14ac:dyDescent="0.25">
      <c r="E941" s="96"/>
    </row>
    <row r="942" spans="5:5" x14ac:dyDescent="0.25">
      <c r="E942" s="96"/>
    </row>
    <row r="943" spans="5:5" x14ac:dyDescent="0.25">
      <c r="E943" s="96"/>
    </row>
    <row r="944" spans="5:5" x14ac:dyDescent="0.25">
      <c r="E944" s="95"/>
    </row>
    <row r="945" spans="5:5" x14ac:dyDescent="0.25">
      <c r="E945" s="96"/>
    </row>
    <row r="946" spans="5:5" x14ac:dyDescent="0.25">
      <c r="E946" s="96"/>
    </row>
    <row r="947" spans="5:5" x14ac:dyDescent="0.25">
      <c r="E947" s="96"/>
    </row>
    <row r="948" spans="5:5" x14ac:dyDescent="0.25">
      <c r="E948" s="95"/>
    </row>
    <row r="949" spans="5:5" x14ac:dyDescent="0.25">
      <c r="E949" s="96"/>
    </row>
    <row r="950" spans="5:5" x14ac:dyDescent="0.25">
      <c r="E950" s="96"/>
    </row>
    <row r="951" spans="5:5" x14ac:dyDescent="0.25">
      <c r="E951" s="96"/>
    </row>
    <row r="952" spans="5:5" x14ac:dyDescent="0.25">
      <c r="E952" s="95"/>
    </row>
    <row r="953" spans="5:5" x14ac:dyDescent="0.25">
      <c r="E953" s="96"/>
    </row>
    <row r="954" spans="5:5" x14ac:dyDescent="0.25">
      <c r="E954" s="96"/>
    </row>
    <row r="955" spans="5:5" x14ac:dyDescent="0.25">
      <c r="E955" s="96"/>
    </row>
    <row r="956" spans="5:5" x14ac:dyDescent="0.25">
      <c r="E956" s="95"/>
    </row>
    <row r="957" spans="5:5" x14ac:dyDescent="0.25">
      <c r="E957" s="96"/>
    </row>
    <row r="958" spans="5:5" x14ac:dyDescent="0.25">
      <c r="E958" s="96"/>
    </row>
    <row r="959" spans="5:5" x14ac:dyDescent="0.25">
      <c r="E959" s="96"/>
    </row>
    <row r="960" spans="5:5" x14ac:dyDescent="0.25">
      <c r="E960" s="95"/>
    </row>
    <row r="961" spans="5:5" x14ac:dyDescent="0.25">
      <c r="E961" s="96"/>
    </row>
    <row r="962" spans="5:5" x14ac:dyDescent="0.25">
      <c r="E962" s="96"/>
    </row>
    <row r="963" spans="5:5" x14ac:dyDescent="0.25">
      <c r="E963" s="96"/>
    </row>
    <row r="964" spans="5:5" x14ac:dyDescent="0.25">
      <c r="E964" s="95"/>
    </row>
    <row r="965" spans="5:5" x14ac:dyDescent="0.25">
      <c r="E965" s="96"/>
    </row>
    <row r="966" spans="5:5" x14ac:dyDescent="0.25">
      <c r="E966" s="96"/>
    </row>
    <row r="967" spans="5:5" x14ac:dyDescent="0.25">
      <c r="E967" s="96"/>
    </row>
    <row r="968" spans="5:5" x14ac:dyDescent="0.25">
      <c r="E968" s="95"/>
    </row>
    <row r="969" spans="5:5" x14ac:dyDescent="0.25">
      <c r="E969" s="96"/>
    </row>
    <row r="970" spans="5:5" x14ac:dyDescent="0.25">
      <c r="E970" s="96"/>
    </row>
    <row r="971" spans="5:5" x14ac:dyDescent="0.25">
      <c r="E971" s="96"/>
    </row>
    <row r="972" spans="5:5" x14ac:dyDescent="0.25">
      <c r="E972" s="95"/>
    </row>
    <row r="973" spans="5:5" x14ac:dyDescent="0.25">
      <c r="E973" s="96"/>
    </row>
    <row r="974" spans="5:5" x14ac:dyDescent="0.25">
      <c r="E974" s="96"/>
    </row>
    <row r="975" spans="5:5" x14ac:dyDescent="0.25">
      <c r="E975" s="96"/>
    </row>
    <row r="976" spans="5:5" x14ac:dyDescent="0.25">
      <c r="E976" s="95"/>
    </row>
    <row r="977" spans="5:5" x14ac:dyDescent="0.25">
      <c r="E977" s="96"/>
    </row>
    <row r="978" spans="5:5" x14ac:dyDescent="0.25">
      <c r="E978" s="96"/>
    </row>
    <row r="979" spans="5:5" x14ac:dyDescent="0.25">
      <c r="E979" s="96"/>
    </row>
    <row r="980" spans="5:5" x14ac:dyDescent="0.25">
      <c r="E980" s="95"/>
    </row>
    <row r="981" spans="5:5" x14ac:dyDescent="0.25">
      <c r="E981" s="96"/>
    </row>
    <row r="982" spans="5:5" x14ac:dyDescent="0.25">
      <c r="E982" s="96"/>
    </row>
    <row r="983" spans="5:5" x14ac:dyDescent="0.25">
      <c r="E983" s="96"/>
    </row>
    <row r="984" spans="5:5" x14ac:dyDescent="0.25">
      <c r="E984" s="95"/>
    </row>
    <row r="985" spans="5:5" x14ac:dyDescent="0.25">
      <c r="E985" s="96"/>
    </row>
    <row r="986" spans="5:5" x14ac:dyDescent="0.25">
      <c r="E986" s="96"/>
    </row>
    <row r="987" spans="5:5" x14ac:dyDescent="0.25">
      <c r="E987" s="96"/>
    </row>
    <row r="988" spans="5:5" x14ac:dyDescent="0.25">
      <c r="E988" s="95"/>
    </row>
    <row r="989" spans="5:5" x14ac:dyDescent="0.25">
      <c r="E989" s="96"/>
    </row>
    <row r="990" spans="5:5" x14ac:dyDescent="0.25">
      <c r="E990" s="96"/>
    </row>
    <row r="991" spans="5:5" x14ac:dyDescent="0.25">
      <c r="E991" s="96"/>
    </row>
    <row r="992" spans="5:5" x14ac:dyDescent="0.25">
      <c r="E992" s="95"/>
    </row>
    <row r="993" spans="5:5" x14ac:dyDescent="0.25">
      <c r="E993" s="96"/>
    </row>
    <row r="994" spans="5:5" x14ac:dyDescent="0.25">
      <c r="E994" s="96"/>
    </row>
    <row r="995" spans="5:5" x14ac:dyDescent="0.25">
      <c r="E995" s="96"/>
    </row>
    <row r="996" spans="5:5" x14ac:dyDescent="0.25">
      <c r="E996" s="95"/>
    </row>
    <row r="997" spans="5:5" x14ac:dyDescent="0.25">
      <c r="E997" s="96"/>
    </row>
    <row r="998" spans="5:5" x14ac:dyDescent="0.25">
      <c r="E998" s="96"/>
    </row>
    <row r="999" spans="5:5" x14ac:dyDescent="0.25">
      <c r="E999" s="96"/>
    </row>
    <row r="1000" spans="5:5" x14ac:dyDescent="0.25">
      <c r="E1000" s="95"/>
    </row>
    <row r="1001" spans="5:5" x14ac:dyDescent="0.25">
      <c r="E1001" s="96"/>
    </row>
    <row r="1002" spans="5:5" x14ac:dyDescent="0.25">
      <c r="E1002" s="96"/>
    </row>
    <row r="1003" spans="5:5" x14ac:dyDescent="0.25">
      <c r="E1003" s="96"/>
    </row>
    <row r="1004" spans="5:5" x14ac:dyDescent="0.25">
      <c r="E1004" s="95"/>
    </row>
    <row r="1005" spans="5:5" x14ac:dyDescent="0.25">
      <c r="E1005" s="96"/>
    </row>
    <row r="1006" spans="5:5" x14ac:dyDescent="0.25">
      <c r="E1006" s="96"/>
    </row>
    <row r="1007" spans="5:5" x14ac:dyDescent="0.25">
      <c r="E1007" s="96"/>
    </row>
    <row r="1008" spans="5:5" x14ac:dyDescent="0.25">
      <c r="E1008" s="95"/>
    </row>
    <row r="1009" spans="5:5" x14ac:dyDescent="0.25">
      <c r="E1009" s="96"/>
    </row>
    <row r="1010" spans="5:5" x14ac:dyDescent="0.25">
      <c r="E1010" s="96"/>
    </row>
    <row r="1011" spans="5:5" x14ac:dyDescent="0.25">
      <c r="E1011" s="96"/>
    </row>
    <row r="1012" spans="5:5" x14ac:dyDescent="0.25">
      <c r="E1012" s="95"/>
    </row>
    <row r="1013" spans="5:5" x14ac:dyDescent="0.25">
      <c r="E1013" s="96"/>
    </row>
    <row r="1014" spans="5:5" x14ac:dyDescent="0.25">
      <c r="E1014" s="96"/>
    </row>
    <row r="1015" spans="5:5" x14ac:dyDescent="0.25">
      <c r="E1015" s="96"/>
    </row>
    <row r="1016" spans="5:5" x14ac:dyDescent="0.25">
      <c r="E1016" s="95"/>
    </row>
    <row r="1017" spans="5:5" x14ac:dyDescent="0.25">
      <c r="E1017" s="96"/>
    </row>
    <row r="1018" spans="5:5" x14ac:dyDescent="0.25">
      <c r="E1018" s="96"/>
    </row>
    <row r="1019" spans="5:5" x14ac:dyDescent="0.25">
      <c r="E1019" s="96"/>
    </row>
    <row r="1020" spans="5:5" x14ac:dyDescent="0.25">
      <c r="E1020" s="95"/>
    </row>
    <row r="1021" spans="5:5" x14ac:dyDescent="0.25">
      <c r="E1021" s="96"/>
    </row>
    <row r="1022" spans="5:5" x14ac:dyDescent="0.25">
      <c r="E1022" s="96"/>
    </row>
    <row r="1023" spans="5:5" x14ac:dyDescent="0.25">
      <c r="E1023" s="96"/>
    </row>
    <row r="1024" spans="5:5" x14ac:dyDescent="0.25">
      <c r="E1024" s="95"/>
    </row>
    <row r="1025" spans="5:5" x14ac:dyDescent="0.25">
      <c r="E1025" s="96"/>
    </row>
    <row r="1026" spans="5:5" x14ac:dyDescent="0.25">
      <c r="E1026" s="96"/>
    </row>
    <row r="1027" spans="5:5" x14ac:dyDescent="0.25">
      <c r="E1027" s="96"/>
    </row>
    <row r="1028" spans="5:5" x14ac:dyDescent="0.25">
      <c r="E1028" s="95"/>
    </row>
    <row r="1029" spans="5:5" x14ac:dyDescent="0.25">
      <c r="E1029" s="96"/>
    </row>
    <row r="1030" spans="5:5" x14ac:dyDescent="0.25">
      <c r="E1030" s="96"/>
    </row>
    <row r="1031" spans="5:5" x14ac:dyDescent="0.25">
      <c r="E1031" s="96"/>
    </row>
    <row r="1032" spans="5:5" x14ac:dyDescent="0.25">
      <c r="E1032" s="95"/>
    </row>
    <row r="1033" spans="5:5" x14ac:dyDescent="0.25">
      <c r="E1033" s="96"/>
    </row>
    <row r="1034" spans="5:5" x14ac:dyDescent="0.25">
      <c r="E1034" s="96"/>
    </row>
    <row r="1035" spans="5:5" x14ac:dyDescent="0.25">
      <c r="E1035" s="96"/>
    </row>
    <row r="1036" spans="5:5" x14ac:dyDescent="0.25">
      <c r="E1036" s="95"/>
    </row>
    <row r="1037" spans="5:5" x14ac:dyDescent="0.25">
      <c r="E1037" s="96"/>
    </row>
    <row r="1038" spans="5:5" x14ac:dyDescent="0.25">
      <c r="E1038" s="96"/>
    </row>
    <row r="1039" spans="5:5" x14ac:dyDescent="0.25">
      <c r="E1039" s="96"/>
    </row>
    <row r="1040" spans="5:5" x14ac:dyDescent="0.25">
      <c r="E1040" s="95"/>
    </row>
    <row r="1041" spans="5:5" x14ac:dyDescent="0.25">
      <c r="E1041" s="96"/>
    </row>
    <row r="1042" spans="5:5" x14ac:dyDescent="0.25">
      <c r="E1042" s="96"/>
    </row>
    <row r="1043" spans="5:5" x14ac:dyDescent="0.25">
      <c r="E1043" s="96"/>
    </row>
    <row r="1044" spans="5:5" x14ac:dyDescent="0.25">
      <c r="E1044" s="95"/>
    </row>
    <row r="1045" spans="5:5" x14ac:dyDescent="0.25">
      <c r="E1045" s="96"/>
    </row>
    <row r="1046" spans="5:5" x14ac:dyDescent="0.25">
      <c r="E1046" s="96"/>
    </row>
    <row r="1047" spans="5:5" x14ac:dyDescent="0.25">
      <c r="E1047" s="96"/>
    </row>
    <row r="1048" spans="5:5" x14ac:dyDescent="0.25">
      <c r="E1048" s="95"/>
    </row>
    <row r="1049" spans="5:5" x14ac:dyDescent="0.25">
      <c r="E1049" s="96"/>
    </row>
    <row r="1050" spans="5:5" x14ac:dyDescent="0.25">
      <c r="E1050" s="96"/>
    </row>
    <row r="1051" spans="5:5" x14ac:dyDescent="0.25">
      <c r="E1051" s="96"/>
    </row>
    <row r="1052" spans="5:5" x14ac:dyDescent="0.25">
      <c r="E1052" s="95"/>
    </row>
    <row r="1053" spans="5:5" x14ac:dyDescent="0.25">
      <c r="E1053" s="96"/>
    </row>
    <row r="1054" spans="5:5" x14ac:dyDescent="0.25">
      <c r="E1054" s="96"/>
    </row>
    <row r="1055" spans="5:5" x14ac:dyDescent="0.25">
      <c r="E1055" s="96"/>
    </row>
    <row r="1056" spans="5:5" x14ac:dyDescent="0.25">
      <c r="E1056" s="95"/>
    </row>
    <row r="1057" spans="5:5" x14ac:dyDescent="0.25">
      <c r="E1057" s="96"/>
    </row>
    <row r="1058" spans="5:5" x14ac:dyDescent="0.25">
      <c r="E1058" s="96"/>
    </row>
    <row r="1059" spans="5:5" x14ac:dyDescent="0.25">
      <c r="E1059" s="96"/>
    </row>
    <row r="1060" spans="5:5" x14ac:dyDescent="0.25">
      <c r="E1060" s="95"/>
    </row>
    <row r="1061" spans="5:5" x14ac:dyDescent="0.25">
      <c r="E1061" s="96"/>
    </row>
    <row r="1062" spans="5:5" x14ac:dyDescent="0.25">
      <c r="E1062" s="96"/>
    </row>
    <row r="1063" spans="5:5" x14ac:dyDescent="0.25">
      <c r="E1063" s="96"/>
    </row>
    <row r="1064" spans="5:5" x14ac:dyDescent="0.25">
      <c r="E1064" s="95"/>
    </row>
    <row r="1065" spans="5:5" x14ac:dyDescent="0.25">
      <c r="E1065" s="96"/>
    </row>
    <row r="1066" spans="5:5" x14ac:dyDescent="0.25">
      <c r="E1066" s="96"/>
    </row>
    <row r="1067" spans="5:5" x14ac:dyDescent="0.25">
      <c r="E1067" s="96"/>
    </row>
    <row r="1068" spans="5:5" x14ac:dyDescent="0.25">
      <c r="E1068" s="95"/>
    </row>
    <row r="1069" spans="5:5" x14ac:dyDescent="0.25">
      <c r="E1069" s="96"/>
    </row>
    <row r="1070" spans="5:5" x14ac:dyDescent="0.25">
      <c r="E1070" s="96"/>
    </row>
    <row r="1071" spans="5:5" x14ac:dyDescent="0.25">
      <c r="E1071" s="96"/>
    </row>
    <row r="1072" spans="5:5" x14ac:dyDescent="0.25">
      <c r="E1072" s="95"/>
    </row>
    <row r="1073" spans="5:5" x14ac:dyDescent="0.25">
      <c r="E1073" s="96"/>
    </row>
    <row r="1074" spans="5:5" x14ac:dyDescent="0.25">
      <c r="E1074" s="96"/>
    </row>
    <row r="1075" spans="5:5" x14ac:dyDescent="0.25">
      <c r="E1075" s="96"/>
    </row>
    <row r="1076" spans="5:5" x14ac:dyDescent="0.25">
      <c r="E1076" s="95"/>
    </row>
    <row r="1077" spans="5:5" x14ac:dyDescent="0.25">
      <c r="E1077" s="96"/>
    </row>
    <row r="1078" spans="5:5" x14ac:dyDescent="0.25">
      <c r="E1078" s="96"/>
    </row>
    <row r="1079" spans="5:5" x14ac:dyDescent="0.25">
      <c r="E1079" s="96"/>
    </row>
    <row r="1080" spans="5:5" x14ac:dyDescent="0.25">
      <c r="E1080" s="95"/>
    </row>
    <row r="1081" spans="5:5" x14ac:dyDescent="0.25">
      <c r="E1081" s="96"/>
    </row>
    <row r="1082" spans="5:5" x14ac:dyDescent="0.25">
      <c r="E1082" s="96"/>
    </row>
    <row r="1083" spans="5:5" x14ac:dyDescent="0.25">
      <c r="E1083" s="96"/>
    </row>
    <row r="1084" spans="5:5" x14ac:dyDescent="0.25">
      <c r="E1084" s="95"/>
    </row>
    <row r="1085" spans="5:5" x14ac:dyDescent="0.25">
      <c r="E1085" s="96"/>
    </row>
    <row r="1086" spans="5:5" x14ac:dyDescent="0.25">
      <c r="E1086" s="96"/>
    </row>
    <row r="1087" spans="5:5" x14ac:dyDescent="0.25">
      <c r="E1087" s="96"/>
    </row>
    <row r="1088" spans="5:5" x14ac:dyDescent="0.25">
      <c r="E1088" s="95"/>
    </row>
    <row r="1089" spans="5:5" x14ac:dyDescent="0.25">
      <c r="E1089" s="96"/>
    </row>
    <row r="1090" spans="5:5" x14ac:dyDescent="0.25">
      <c r="E1090" s="96"/>
    </row>
    <row r="1091" spans="5:5" x14ac:dyDescent="0.25">
      <c r="E1091" s="96"/>
    </row>
    <row r="1092" spans="5:5" x14ac:dyDescent="0.25">
      <c r="E1092" s="95"/>
    </row>
    <row r="1093" spans="5:5" x14ac:dyDescent="0.25">
      <c r="E1093" s="96"/>
    </row>
    <row r="1094" spans="5:5" x14ac:dyDescent="0.25">
      <c r="E1094" s="96"/>
    </row>
    <row r="1095" spans="5:5" x14ac:dyDescent="0.25">
      <c r="E1095" s="96"/>
    </row>
    <row r="1096" spans="5:5" x14ac:dyDescent="0.25">
      <c r="E1096" s="95"/>
    </row>
    <row r="1097" spans="5:5" x14ac:dyDescent="0.25">
      <c r="E1097" s="96"/>
    </row>
    <row r="1098" spans="5:5" x14ac:dyDescent="0.25">
      <c r="E1098" s="96"/>
    </row>
    <row r="1099" spans="5:5" x14ac:dyDescent="0.25">
      <c r="E1099" s="96"/>
    </row>
    <row r="1100" spans="5:5" x14ac:dyDescent="0.25">
      <c r="E1100" s="95"/>
    </row>
    <row r="1101" spans="5:5" x14ac:dyDescent="0.25">
      <c r="E1101" s="96"/>
    </row>
    <row r="1102" spans="5:5" x14ac:dyDescent="0.25">
      <c r="E1102" s="96"/>
    </row>
    <row r="1103" spans="5:5" x14ac:dyDescent="0.25">
      <c r="E1103" s="96"/>
    </row>
    <row r="1104" spans="5:5" x14ac:dyDescent="0.25">
      <c r="E1104" s="95"/>
    </row>
    <row r="1105" spans="5:5" x14ac:dyDescent="0.25">
      <c r="E1105" s="96"/>
    </row>
    <row r="1106" spans="5:5" x14ac:dyDescent="0.25">
      <c r="E1106" s="96"/>
    </row>
    <row r="1107" spans="5:5" x14ac:dyDescent="0.25">
      <c r="E1107" s="96"/>
    </row>
    <row r="1108" spans="5:5" x14ac:dyDescent="0.25">
      <c r="E1108" s="95"/>
    </row>
    <row r="1109" spans="5:5" x14ac:dyDescent="0.25">
      <c r="E1109" s="96"/>
    </row>
    <row r="1110" spans="5:5" x14ac:dyDescent="0.25">
      <c r="E1110" s="96"/>
    </row>
    <row r="1111" spans="5:5" x14ac:dyDescent="0.25">
      <c r="E1111" s="96"/>
    </row>
    <row r="1112" spans="5:5" x14ac:dyDescent="0.25">
      <c r="E1112" s="95"/>
    </row>
    <row r="1113" spans="5:5" x14ac:dyDescent="0.25">
      <c r="E1113" s="96"/>
    </row>
    <row r="1114" spans="5:5" x14ac:dyDescent="0.25">
      <c r="E1114" s="96"/>
    </row>
    <row r="1115" spans="5:5" x14ac:dyDescent="0.25">
      <c r="E1115" s="96"/>
    </row>
    <row r="1116" spans="5:5" x14ac:dyDescent="0.25">
      <c r="E1116" s="95"/>
    </row>
    <row r="1117" spans="5:5" x14ac:dyDescent="0.25">
      <c r="E1117" s="96"/>
    </row>
    <row r="1118" spans="5:5" x14ac:dyDescent="0.25">
      <c r="E1118" s="96"/>
    </row>
    <row r="1119" spans="5:5" x14ac:dyDescent="0.25">
      <c r="E1119" s="96"/>
    </row>
    <row r="1120" spans="5:5" x14ac:dyDescent="0.25">
      <c r="E1120" s="95"/>
    </row>
    <row r="1121" spans="5:5" x14ac:dyDescent="0.25">
      <c r="E1121" s="96"/>
    </row>
    <row r="1122" spans="5:5" x14ac:dyDescent="0.25">
      <c r="E1122" s="96"/>
    </row>
    <row r="1123" spans="5:5" x14ac:dyDescent="0.25">
      <c r="E1123" s="9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alculeaza_necesar_fire_Click">
                <anchor moveWithCells="1" sizeWithCells="1">
                  <from>
                    <xdr:col>1</xdr:col>
                    <xdr:colOff>28575</xdr:colOff>
                    <xdr:row>16</xdr:row>
                    <xdr:rowOff>47625</xdr:rowOff>
                  </from>
                  <to>
                    <xdr:col>3</xdr:col>
                    <xdr:colOff>419100</xdr:colOff>
                    <xdr:row>17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20788-1</vt:lpstr>
      <vt:lpstr>Necesar fire</vt:lpstr>
      <vt:lpstr>Despartire_formula</vt:lpstr>
      <vt:lpstr>Calcule fire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Diana</dc:creator>
  <cp:lastModifiedBy>Bogdan</cp:lastModifiedBy>
  <cp:lastPrinted>2022-09-12T06:54:51Z</cp:lastPrinted>
  <dcterms:created xsi:type="dcterms:W3CDTF">2015-06-05T18:17:20Z</dcterms:created>
  <dcterms:modified xsi:type="dcterms:W3CDTF">2023-10-06T11:36:07Z</dcterms:modified>
</cp:coreProperties>
</file>